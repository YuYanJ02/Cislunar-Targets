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keyan\projects\cislunar_SDA\cislubar_targets\outputs\cislunar_target_registry\"/>
    </mc:Choice>
  </mc:AlternateContent>
  <xr:revisionPtr revIDLastSave="0" documentId="13_ncr:1_{20F85D39-11D0-4F7A-9A2B-20194A097C1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目标登记表" sheetId="1" r:id="rId1"/>
    <sheet name="字段说明" sheetId="2" r:id="rId2"/>
  </sheets>
  <calcPr calcId="0"/>
</workbook>
</file>

<file path=xl/sharedStrings.xml><?xml version="1.0" encoding="utf-8"?>
<sst xmlns="http://schemas.openxmlformats.org/spreadsheetml/2006/main" count="821" uniqueCount="381">
  <si>
    <t>canonical_object_id</t>
  </si>
  <si>
    <t>preferred_name</t>
  </si>
  <si>
    <t>chinese_name</t>
  </si>
  <si>
    <t>norad_cat_id</t>
  </si>
  <si>
    <t>cospar_id</t>
  </si>
  <si>
    <t>bill_gray_name</t>
  </si>
  <si>
    <t>bill_gray_file</t>
  </si>
  <si>
    <t>object_type</t>
  </si>
  <si>
    <t>orbit_regime</t>
  </si>
  <si>
    <t>primary_body</t>
  </si>
  <si>
    <t>include</t>
  </si>
  <si>
    <t>identity_status</t>
  </si>
  <si>
    <t>source_scope</t>
  </si>
  <si>
    <t>priority</t>
  </si>
  <si>
    <t>mission_status</t>
  </si>
  <si>
    <t>aliases</t>
  </si>
  <si>
    <t>notes</t>
  </si>
  <si>
    <t>last_verified_utc</t>
  </si>
  <si>
    <t>source_url</t>
  </si>
  <si>
    <t>bill_gray_catalog_id</t>
  </si>
  <si>
    <t>semi_major_axis_km</t>
  </si>
  <si>
    <t>period_days</t>
  </si>
  <si>
    <t>tle_epoch_utc</t>
  </si>
  <si>
    <t>ephemeris_type</t>
  </si>
  <si>
    <t>semi_major_axis_method</t>
  </si>
  <si>
    <t>source_commit</t>
  </si>
  <si>
    <t>BG-NORAD-27540</t>
  </si>
  <si>
    <t>Integral</t>
  </si>
  <si>
    <t>27540</t>
  </si>
  <si>
    <t>2002-048A</t>
  </si>
  <si>
    <t>2002-048A = NORAD 27540 = Integral</t>
  </si>
  <si>
    <t>02048a25.tle</t>
  </si>
  <si>
    <t>spacecraft</t>
  </si>
  <si>
    <t>XGEO</t>
  </si>
  <si>
    <t>Earth</t>
  </si>
  <si>
    <t>TRUE</t>
  </si>
  <si>
    <t>confirmed</t>
  </si>
  <si>
    <t>bill_gray</t>
  </si>
  <si>
    <t>medium</t>
  </si>
  <si>
    <t>unknown</t>
  </si>
  <si>
    <t>Bill Gray 快照筛选：半长轴 81109.7 km &gt; GEO 阈值 42164 km。 独立筛选：COSPAR发射年2002&gt;2000；Space-Track确认PAYLOAD且未地球再入；Bill Gray半长轴81109.707 km&gt;42164 km。</t>
  </si>
  <si>
    <t>https://github.com/Bill-Gray/tles/blob/4b1417647b9b5595f903628b8283a07180fb3a35/02048a25.tle#L610</t>
  </si>
  <si>
    <t>0</t>
  </si>
  <si>
    <t>tle_mean_motion</t>
  </si>
  <si>
    <t>4b1417647b9b5595f903628b8283a07180fb3a35</t>
  </si>
  <si>
    <t>BG-NORAD-30580</t>
  </si>
  <si>
    <t>THEMIS A</t>
  </si>
  <si>
    <t>30580</t>
  </si>
  <si>
    <t>2007-004A</t>
  </si>
  <si>
    <t>NORAD 30580 = 2007-004A = THEMIS A</t>
  </si>
  <si>
    <t>07004a.tle</t>
  </si>
  <si>
    <t>Bill Gray 快照筛选：半长轴 46050.7 km &gt; GEO 阈值 42164 km。 独立筛选：COSPAR发射年2007&gt;2000；Space-Track确认PAYLOAD且未地球再入；Bill Gray半长轴46050.665 km&gt;42164 km。</t>
  </si>
  <si>
    <t>https://github.com/Bill-Gray/tles/blob/4b1417647b9b5595f903628b8283a07180fb3a35/07004a.tle#L944</t>
  </si>
  <si>
    <t>BG-NORAD-30797</t>
  </si>
  <si>
    <t>THEMIS D</t>
  </si>
  <si>
    <t>30797</t>
  </si>
  <si>
    <t>2007-004D</t>
  </si>
  <si>
    <t>NORAD 30797 = 2007-004D = THEMIS D</t>
  </si>
  <si>
    <t>07004d.tle</t>
  </si>
  <si>
    <t>Bill Gray 快照筛选：半长轴 46052.8 km &gt; GEO 阈值 42164 km。 独立筛选：COSPAR发射年2007&gt;2000；Space-Track确认PAYLOAD且未地球再入；Bill Gray半长轴46052.790 km&gt;42164 km。</t>
  </si>
  <si>
    <t>https://github.com/Bill-Gray/tles/blob/4b1417647b9b5595f903628b8283a07180fb3a35/07004d.tle#L941</t>
  </si>
  <si>
    <t>BG-NORAD-30798</t>
  </si>
  <si>
    <t>THEMIS E</t>
  </si>
  <si>
    <t>30798</t>
  </si>
  <si>
    <t>2007-004E</t>
  </si>
  <si>
    <t>NORAD 30798 = 2007-004E = THEMIS E</t>
  </si>
  <si>
    <t>07004e.tle</t>
  </si>
  <si>
    <t>Bill Gray 快照筛选：半长轴 46050.2 km &gt; GEO 阈值 42164 km。 独立筛选：COSPAR发射年2007&gt;2000；Space-Track确认PAYLOAD且未地球再入；Bill Gray半长轴46050.181 km&gt;42164 km。</t>
  </si>
  <si>
    <t>https://github.com/Bill-Gray/tles/blob/4b1417647b9b5595f903628b8283a07180fb3a35/07004e.tle#L941</t>
  </si>
  <si>
    <t>BG-NORAD-33401</t>
  </si>
  <si>
    <t>IBEX</t>
  </si>
  <si>
    <t>33401</t>
  </si>
  <si>
    <t>2008-051A</t>
  </si>
  <si>
    <t>2008-051A = TR93D0F = IBEX = NORAD 33401</t>
  </si>
  <si>
    <t>08051a25.tle</t>
  </si>
  <si>
    <t>2008-051A|TR93D0F</t>
  </si>
  <si>
    <t>Bill Gray 快照筛选：半长轴 186791.2 km &gt; GEO 阈值 42164 km。 独立筛选：COSPAR发射年2008&gt;2000；Space-Track确认PAYLOAD且未地球再入；Bill Gray半长轴186791.191 km&gt;42164 km。</t>
  </si>
  <si>
    <t>https://github.com/Bill-Gray/tles/blob/4b1417647b9b5595f903628b8283a07180fb3a35/08051a25.tle#L2248</t>
  </si>
  <si>
    <t>BG-NORAD-37755</t>
  </si>
  <si>
    <t>Spektr-R</t>
  </si>
  <si>
    <t>37755</t>
  </si>
  <si>
    <t>2011-037A</t>
  </si>
  <si>
    <t>2011-037A = NORAD 37755 = Spektr-R</t>
  </si>
  <si>
    <t>11037a25.tle</t>
  </si>
  <si>
    <t>Bill Gray 快照筛选：半长轴 175257.4 km &gt; GEO 阈值 42164 km。 独立筛选：COSPAR发射年2011&gt;2000；Space-Track确认PAYLOAD且未地球再入；Bill Gray半长轴175257.359 km&gt;42164 km。</t>
  </si>
  <si>
    <t>https://github.com/Bill-Gray/tles/blob/4b1417647b9b5595f903628b8283a07180fb3a35/11037a25.tle#L2248</t>
  </si>
  <si>
    <t>BG-NORAD-43435</t>
  </si>
  <si>
    <t>TESS</t>
  </si>
  <si>
    <t>43435</t>
  </si>
  <si>
    <t>2018-038A</t>
  </si>
  <si>
    <t>TESS = 2018-038A = NORAD 43435</t>
  </si>
  <si>
    <t>18038a25.tle</t>
  </si>
  <si>
    <t>Bill Gray 快照筛选：半长轴 250945.5 km &gt; GEO 阈值 42164 km。 独立筛选：COSPAR发射年2018&gt;2000；Space-Track确认PAYLOAD且未地球再入；Bill Gray半长轴250945.510 km&gt;42164 km。</t>
  </si>
  <si>
    <t>https://github.com/Bill-Gray/tles/blob/4b1417647b9b5595f903628b8283a07180fb3a35/18038a25.tle#L2359</t>
  </si>
  <si>
    <t>BG-NORAD-43470</t>
  </si>
  <si>
    <t>Queqiao</t>
  </si>
  <si>
    <t>43470</t>
  </si>
  <si>
    <t>2018-045A</t>
  </si>
  <si>
    <t>2018-045A = NORAD 43470 = Queqiao</t>
  </si>
  <si>
    <t>18045a.tle</t>
  </si>
  <si>
    <t>Bill Gray 快照筛选：半长轴 193948.5 km &gt; GEO 阈值 42164 km。 独立筛选：COSPAR发射年2018&gt;2000；Space-Track确认PAYLOAD且未地球再入；Bill Gray半长轴193948.540 km&gt;42164 km。</t>
  </si>
  <si>
    <t>https://github.com/Bill-Gray/tles/blob/4b1417647b9b5595f903628b8283a07180fb3a35/18045a.tle#L88</t>
  </si>
  <si>
    <t>BG-NORAD-44432</t>
  </si>
  <si>
    <t>Spektr-RG</t>
  </si>
  <si>
    <t>44432</t>
  </si>
  <si>
    <t>2019-040A</t>
  </si>
  <si>
    <t>2019-040A = NORAD 44432 = Spektr-RG</t>
  </si>
  <si>
    <t>19040a25.tle</t>
  </si>
  <si>
    <t>probable</t>
  </si>
  <si>
    <t>Bill Gray 快照筛选：半长轴 854467.3 km &gt; GEO 阈值 42164 km。 独立筛选：COSPAR发射年2019&gt;2000；任务属性判定为PAYLOAD；Bill Gray半长轴854467.259 km&gt;42164 km；未发现地球再入。</t>
  </si>
  <si>
    <t>https://github.com/Bill-Gray/tles/blob/4b1417647b9b5595f903628b8283a07180fb3a35/19040a25.tle#L2304</t>
  </si>
  <si>
    <t>H</t>
  </si>
  <si>
    <t>state_vector_energy</t>
  </si>
  <si>
    <t>BG-NORAD-50463</t>
  </si>
  <si>
    <t>James Webb Space Telescope</t>
  </si>
  <si>
    <t>50463</t>
  </si>
  <si>
    <t>2021-130A</t>
  </si>
  <si>
    <t>James Webb Space Telescope = 2021-130A = NORAD 50463</t>
  </si>
  <si>
    <t>21130a25.tle</t>
  </si>
  <si>
    <t>Bill Gray 快照筛选：半长轴 860183.2 km &gt; GEO 阈值 42164 km。 独立筛选：COSPAR发射年2021&gt;2000；Space-Track确认PAYLOAD且未地球再入；Bill Gray半长轴860183.187 km&gt;42164 km。</t>
  </si>
  <si>
    <t>https://github.com/Bill-Gray/tles/blob/4b1417647b9b5595f903628b8283a07180fb3a35/21130a25.tle#L2342</t>
  </si>
  <si>
    <t>BG-NORAD-52916</t>
  </si>
  <si>
    <t>Photon</t>
  </si>
  <si>
    <t>52916</t>
  </si>
  <si>
    <t>2022-070C</t>
  </si>
  <si>
    <t>Photon = NORAD 52916 = 2022-070C</t>
  </si>
  <si>
    <t>22070c.tle</t>
  </si>
  <si>
    <t>Bill Gray 快照筛选：半长轴 938854.8 km &gt; GEO 阈值 42164 km。 独立筛选：COSPAR发射年2022&gt;2000；任务属性判定为PAYLOAD；Bill Gray半长轴938854.838 km&gt;42164 km；未发现地球再入。</t>
  </si>
  <si>
    <t>https://github.com/Bill-Gray/tles/blob/4b1417647b9b5595f903628b8283a07180fb3a35/22070c.tle#L1001</t>
  </si>
  <si>
    <t>BG-NORAD-54696</t>
  </si>
  <si>
    <t>Hakuto-R</t>
  </si>
  <si>
    <t>54696</t>
  </si>
  <si>
    <t>2022-168A</t>
  </si>
  <si>
    <t>Hakuto-R = 2022-168A = NORAD 54696</t>
  </si>
  <si>
    <t>22168a.tle</t>
  </si>
  <si>
    <t>Bill Gray 快照筛选：半长轴 552963.1 km &gt; GEO 阈值 42164 km。 独立筛选：COSPAR发射年2022&gt;2000；任务属性判定为PAYLOAD；Bill Gray半长轴552963.072 km&gt;42164 km；未发现地球再入。</t>
  </si>
  <si>
    <t>https://github.com/Bill-Gray/tles/blob/4b1417647b9b5595f903628b8283a07180fb3a35/22168a.tle#L539</t>
  </si>
  <si>
    <t>BG-NORAD-57209</t>
  </si>
  <si>
    <t>Euclid</t>
  </si>
  <si>
    <t>57209</t>
  </si>
  <si>
    <t>2023-092A</t>
  </si>
  <si>
    <t>Euclid = 2023-092A = NORAD 57209</t>
  </si>
  <si>
    <t>23092a25.tle</t>
  </si>
  <si>
    <t>Bill Gray 快照筛选：半长轴 856206.5 km &gt; GEO 阈值 42164 km。 独立筛选：COSPAR发射年2023&gt;2000；任务属性判定为PAYLOAD；Bill Gray半长轴856206.530 km&gt;42164 km；未发现地球再入。</t>
  </si>
  <si>
    <t>https://github.com/Bill-Gray/tles/blob/4b1417647b9b5595f903628b8283a07180fb3a35/23092a25.tle#L2344</t>
  </si>
  <si>
    <t>BG-NORAD-57320</t>
  </si>
  <si>
    <t>Chandrayaan-3</t>
  </si>
  <si>
    <t>57320</t>
  </si>
  <si>
    <t>2023-098A</t>
  </si>
  <si>
    <t>Chandrayaan-3 = 2023-098A = NORAD 57320</t>
  </si>
  <si>
    <t>chandra3.tle</t>
  </si>
  <si>
    <t>Bill Gray 快照筛选：半长轴 187059.1 km &gt; GEO 阈值 42164 km。 独立筛选：COSPAR发射年2023&gt;2000；任务属性判定为PAYLOAD；Bill Gray半长轴187059.115 km&gt;42164 km；未发现地球再入。</t>
  </si>
  <si>
    <t>https://github.com/Bill-Gray/tles/blob/4b1417647b9b5595f903628b8283a07180fb3a35/chandra3.tle#L734</t>
  </si>
  <si>
    <t>BG-NORAD-57770</t>
  </si>
  <si>
    <t>Chandrayaan-3 PM</t>
  </si>
  <si>
    <t>57770</t>
  </si>
  <si>
    <t>2023-098C</t>
  </si>
  <si>
    <t>2023-098C = NORAD 57770 = Chandrayaan-3 PM</t>
  </si>
  <si>
    <t>23098c25.tle</t>
  </si>
  <si>
    <t>Bill Gray 快照筛选：半长轴 618025.9 km &gt; GEO 阈值 42164 km。 独立筛选：COSPAR发射年2023&gt;2000；Space-Track确认PAYLOAD且未地球再入；Bill Gray半长轴618025.914 km&gt;42164 km。</t>
  </si>
  <si>
    <t>https://github.com/Bill-Gray/tles/blob/4b1417647b9b5595f903628b8283a07180fb3a35/23098c25.tle#L2369</t>
  </si>
  <si>
    <t>BG-NORAD-57803</t>
  </si>
  <si>
    <t>SLIM</t>
  </si>
  <si>
    <t>57803</t>
  </si>
  <si>
    <t>2023-137D</t>
  </si>
  <si>
    <t>slim.tle</t>
  </si>
  <si>
    <t>Bill Gray 快照筛选：半长轴 445521.0 km &gt; GEO 阈值 42164 km。 独立筛选：COSPAR发射年2023&gt;2000；任务属性判定为PAYLOAD；Bill Gray半长轴445520.976 km&gt;42164 km；未发现地球再入。</t>
  </si>
  <si>
    <t>https://github.com/Bill-Gray/tles/blob/4b1417647b9b5595f903628b8283a07180fb3a35/slim.tle#L805</t>
  </si>
  <si>
    <t>BG-NORAD-58963</t>
  </si>
  <si>
    <t>IM-1 (Odysseus)</t>
  </si>
  <si>
    <t>58963</t>
  </si>
  <si>
    <t>2024-030A</t>
  </si>
  <si>
    <t>IM-1 (Odysseus) = 2024-030A = NORAD 58963</t>
  </si>
  <si>
    <t>im1.tle</t>
  </si>
  <si>
    <t>Bill Gray 快照筛选：半长轴 206584.0 km &gt; GEO 阈值 42164 km。 独立筛选：COSPAR发射年2024&gt;2000；任务属性判定为PAYLOAD；Bill Gray半长轴206584.023 km&gt;42164 km；未发现地球再入。</t>
  </si>
  <si>
    <t>https://github.com/Bill-Gray/tles/blob/4b1417647b9b5595f903628b8283a07180fb3a35/im1.tle#L134</t>
  </si>
  <si>
    <t>BG-NORAD-59228</t>
  </si>
  <si>
    <t>DRO-A</t>
  </si>
  <si>
    <t>59228</t>
  </si>
  <si>
    <t>2024-048A</t>
  </si>
  <si>
    <t>2024-048A = NORAD 59228 = DRO-A</t>
  </si>
  <si>
    <t>24048a26.tle</t>
  </si>
  <si>
    <t>Bill Gray 快照筛选：半长轴 372897.1 km &gt; GEO 阈值 42164 km。 独立筛选：COSPAR发射年2024&gt;2000；Space-Track确认PAYLOAD且未地球再入；Bill Gray半长轴372897.125 km&gt;42164 km。</t>
  </si>
  <si>
    <t>https://github.com/Bill-Gray/tles/blob/4b1417647b9b5595f903628b8283a07180fb3a35/24048a26.tle#L1155</t>
  </si>
  <si>
    <t>BG-NORAD-59276</t>
  </si>
  <si>
    <t>Queqiao-2</t>
  </si>
  <si>
    <t>59276</t>
  </si>
  <si>
    <t>2024-051A</t>
  </si>
  <si>
    <t>Queqiao-2 = NORAD 59276 = 2024-051A</t>
  </si>
  <si>
    <t>24051a.tle</t>
  </si>
  <si>
    <t>Bill Gray 快照筛选：半长轴 208726.2 km &gt; GEO 阈值 42164 km。 独立筛选：COSPAR发射年2024&gt;2000；任务属性判定为PAYLOAD；Bill Gray半长轴208726.169 km&gt;42164 km；未发现地球再入。</t>
  </si>
  <si>
    <t>https://github.com/Bill-Gray/tles/blob/4b1417647b9b5595f903628b8283a07180fb3a35/24051a.tle#L89</t>
  </si>
  <si>
    <t>BG-NORAD-59278</t>
  </si>
  <si>
    <t>Tiandu-1</t>
  </si>
  <si>
    <t>59278</t>
  </si>
  <si>
    <t>2024-051C</t>
  </si>
  <si>
    <t>2024-051C = NORAD 59278 = Tiandu-1</t>
  </si>
  <si>
    <t>24051c26.tle</t>
  </si>
  <si>
    <t>Bill Gray 快照筛选：半长轴 210921.5 km &gt; GEO 阈值 42164 km。 独立筛选：COSPAR发射年2024&gt;2000；任务属性判定为PAYLOAD；Bill Gray半长轴210921.460 km&gt;42164 km；未发现地球再入。</t>
  </si>
  <si>
    <t>https://github.com/Bill-Gray/tles/blob/4b1417647b9b5595f903628b8283a07180fb3a35/24051c26.tle#L1142</t>
  </si>
  <si>
    <t>BG-NORAD-59627</t>
  </si>
  <si>
    <t>Chang'e-6 Guidao Qi</t>
  </si>
  <si>
    <t>59627</t>
  </si>
  <si>
    <t>2024-083A</t>
  </si>
  <si>
    <t>2024-083A = NORAD 59627 = Chang'e-6 Guidao Qi</t>
  </si>
  <si>
    <t>24083a26.tle</t>
  </si>
  <si>
    <t>Bill Gray 快照筛选：半长轴 460121.1 km &gt; GEO 阈值 42164 km。 独立筛选：COSPAR发射年2024&gt;2000；任务属性判定为PAYLOAD；Bill Gray半长轴460121.119 km&gt;42164 km；未发现地球再入。</t>
  </si>
  <si>
    <t>https://github.com/Bill-Gray/tles/blob/4b1417647b9b5595f903628b8283a07180fb3a35/24083a26.tle#L1157</t>
  </si>
  <si>
    <t>BG-NORAD-60058</t>
  </si>
  <si>
    <t>DRO-B</t>
  </si>
  <si>
    <t>60058</t>
  </si>
  <si>
    <t>2024-048D</t>
  </si>
  <si>
    <t>2024-048D = NORAD 60058 = DRO-B</t>
  </si>
  <si>
    <t>24048d26.tle</t>
  </si>
  <si>
    <t>Bill Gray 快照筛选：半长轴 253880.7 km &gt; GEO 阈值 42164 km。 独立筛选：COSPAR发射年2024&gt;2000；Space-Track确认PAYLOAD且未地球再入；Bill Gray半长轴253880.701 km&gt;42164 km。</t>
  </si>
  <si>
    <t>https://github.com/Bill-Gray/tles/blob/4b1417647b9b5595f903628b8283a07180fb3a35/24048d26.tle#L1155</t>
  </si>
  <si>
    <t>BG-NORAD-62716</t>
  </si>
  <si>
    <t>Blue Ghost</t>
  </si>
  <si>
    <t>62716</t>
  </si>
  <si>
    <t>2025-010A</t>
  </si>
  <si>
    <t>2025-010A = NORAD 62716 = Blue Ghost</t>
  </si>
  <si>
    <t>25010a.tle</t>
  </si>
  <si>
    <t>Bill Gray 快照筛选：半长轴 202401.9 km &gt; GEO 阈值 42164 km。 独立筛选：COSPAR发射年2025&gt;2000；任务属性判定为PAYLOAD；Bill Gray半长轴202401.913 km&gt;42164 km；未发现地球再入。</t>
  </si>
  <si>
    <t>https://github.com/Bill-Gray/tles/blob/4b1417647b9b5595f903628b8283a07180fb3a35/25010a.tle#L247</t>
  </si>
  <si>
    <t>BG-NORAD-62717</t>
  </si>
  <si>
    <t>62717</t>
  </si>
  <si>
    <t>2025-010B</t>
  </si>
  <si>
    <t>Hakuto-R = 2025-010B = NORAD 62717</t>
  </si>
  <si>
    <t>25010b.tle</t>
  </si>
  <si>
    <t>Bill Gray 快照筛选：半长轴 332310.5 km &gt; GEO 阈值 42164 km。 独立筛选：COSPAR发射年2025&gt;2000；任务属性判定为PAYLOAD；Bill Gray半长轴332310.499 km&gt;42164 km；未发现地球再入。</t>
  </si>
  <si>
    <t>https://github.com/Bill-Gray/tles/blob/4b1417647b9b5595f903628b8283a07180fb3a35/25010b.tle#L749</t>
  </si>
  <si>
    <t>BG-NORAD-69123</t>
  </si>
  <si>
    <t>SMILE</t>
  </si>
  <si>
    <t>69123</t>
  </si>
  <si>
    <t>2026-109A</t>
  </si>
  <si>
    <t>2026-109A = NORAD 69123 = SMILE</t>
  </si>
  <si>
    <t>26109a.tle</t>
  </si>
  <si>
    <t>Bill Gray 快照筛选：半长轴 69375.9 km &gt; GEO 阈值 42164 km。 独立筛选：COSPAR发射年2026&gt;2000；Space-Track确认PAYLOAD且未地球再入；Bill Gray半长轴69375.938 km&gt;42164 km。</t>
  </si>
  <si>
    <t>https://github.com/Bill-Gray/tles/blob/4b1417647b9b5595f903628b8283a07180fb3a35/26109a.tle#L594</t>
  </si>
  <si>
    <t>BG-NORAD-79970</t>
  </si>
  <si>
    <t>EQUULEUS</t>
  </si>
  <si>
    <t>79970</t>
  </si>
  <si>
    <t>2022-156Z</t>
  </si>
  <si>
    <t>EQUULEUS = 2022-156ZZZ = NORAD 79970</t>
  </si>
  <si>
    <t>equuleus.tle</t>
  </si>
  <si>
    <t>2022-156ZZZ</t>
  </si>
  <si>
    <t>Bill Gray 快照筛选：半长轴 270670.3 km &gt; GEO 阈值 42164 km。 独立筛选：COSPAR发射年2022&gt;2000；任务属性判定为PAYLOAD；Bill Gray半长轴270670.271 km&gt;42164 km；未发现地球再入。</t>
  </si>
  <si>
    <t>https://github.com/Bill-Gray/tles/blob/4b1417647b9b5595f903628b8283a07180fb3a35/equuleus.tle#L2581</t>
  </si>
  <si>
    <t>BG-COSPAR-2019042A</t>
  </si>
  <si>
    <t>19042a</t>
  </si>
  <si>
    <t>2019-042A</t>
  </si>
  <si>
    <t>19042a.tle</t>
  </si>
  <si>
    <t>Bill Gray 快照筛选：半长轴 209556.4 km &gt; GEO 阈值 42164 km。 独立筛选：COSPAR发射年2019&gt;2000；Space-Track确认PAYLOAD且未地球再入；Bill Gray半长轴209556.371 km&gt;42164 km。</t>
  </si>
  <si>
    <t>https://github.com/Bill-Gray/tles/blob/4b1417647b9b5595f903628b8283a07180fb3a35/19042a.tle#L643</t>
  </si>
  <si>
    <t>44441</t>
  </si>
  <si>
    <t>2</t>
  </si>
  <si>
    <t>BG-COSPAR-2022168B</t>
  </si>
  <si>
    <t>Lunar Flashlight</t>
  </si>
  <si>
    <t>2022-168B</t>
  </si>
  <si>
    <t>22168b.tle</t>
  </si>
  <si>
    <t>Bill Gray 快照筛选：半长轴 359247.6 km &gt; GEO 阈值 42164 km。 独立筛选：COSPAR发射年2022&gt;2000；任务属性判定为PAYLOAD；Bill Gray半长轴359247.604 km&gt;42164 km；未发现地球再入。</t>
  </si>
  <si>
    <t>https://github.com/Bill-Gray/tles/blob/4b1417647b9b5595f903628b8283a07180fb3a35/22168b.tle#L726</t>
  </si>
  <si>
    <t>54697</t>
  </si>
  <si>
    <t>BG-COSPAR-2026069A</t>
  </si>
  <si>
    <t>Artemis II</t>
  </si>
  <si>
    <t>2026-069A</t>
  </si>
  <si>
    <t>26069a.tle</t>
  </si>
  <si>
    <t>Bill Gray 快照筛选：半长轴 227204.6 km &gt; GEO 阈值 42164 km。 独立筛选：COSPAR发射年2026&gt;2000；任务属性判定为PAYLOAD；Bill Gray半长轴227204.590 km&gt;42164 km；未发现地球再入。</t>
  </si>
  <si>
    <t>https://github.com/Bill-Gray/tles/blob/4b1417647b9b5595f903628b8283a07180fb3a35/26069a.tle#L687</t>
  </si>
  <si>
    <t>68538</t>
  </si>
  <si>
    <t>地月空间目标登记表填写说明</t>
  </si>
  <si>
    <t>Bill Gray独立筛选结果：29个2000年后发射、PAYLOAD、未地球再入且半长轴大于42164 km的目标。</t>
  </si>
  <si>
    <t>字段名</t>
  </si>
  <si>
    <t>必填</t>
  </si>
  <si>
    <t>类型/格式</t>
  </si>
  <si>
    <t>可选值</t>
  </si>
  <si>
    <t>填写说明</t>
  </si>
  <si>
    <t>示例</t>
  </si>
  <si>
    <t>是</t>
  </si>
  <si>
    <t>文本</t>
  </si>
  <si>
    <t>自定义、长期不变</t>
  </si>
  <si>
    <t>内部稳定主键。名称或外部编号变化时也不要修改。</t>
  </si>
  <si>
    <t>BG-NORAD-26463</t>
  </si>
  <si>
    <t>Bill Gray 名称中优先选取的可读目标名。</t>
  </si>
  <si>
    <t>Cluster II-FM5 Rumba</t>
  </si>
  <si>
    <t>否</t>
  </si>
  <si>
    <t>常用中文名称，待人工补充。</t>
  </si>
  <si>
    <t>仅在 Bill Gray 名称行明确标注 NORAD 时填写；临时目录号不写入此列。</t>
  </si>
  <si>
    <t>26463</t>
  </si>
  <si>
    <t>排除 000/999 等占位发射编号后的公开国际编号。</t>
  </si>
  <si>
    <t>2000-045A</t>
  </si>
  <si>
    <t>TLE 前的完整 Bill Gray 身份名称行。</t>
  </si>
  <si>
    <t>2000-045A = NORAD 26463 = Cluster II-FM5 Rumba</t>
  </si>
  <si>
    <t>相对路径</t>
  </si>
  <si>
    <t>Bill-Gray/tles 根目录中的源文件。</t>
  </si>
  <si>
    <t>00045a.tle</t>
  </si>
  <si>
    <t>下拉</t>
  </si>
  <si>
    <t>spacecraft | rocket_body | debris | unknown</t>
  </si>
  <si>
    <t>Space-Track确认或按Bill Gray任务名称独立判定为PAYLOAD，登记为spacecraft。</t>
  </si>
  <si>
    <t>GEO | GTO | HEO | XGEO | translunar | lunar_orbit | NRHO | DRO | EML1 | EML2 | heliocentric | escape | unknown</t>
  </si>
  <si>
    <t>本批记录按半长轴筛选，统一标记 XGEO，待任务语义分类。</t>
  </si>
  <si>
    <t>Earth | Moon | Sun | Earth-Moon | unknown</t>
  </si>
  <si>
    <t>半长轴按地心 TLE/状态矢量计算。</t>
  </si>
  <si>
    <t>TRUE | FALSE</t>
  </si>
  <si>
    <t>是否纳入后续更新和分析。</t>
  </si>
  <si>
    <t>confirmed | probable | unmatched | conflicted</t>
  </si>
  <si>
    <t>Space-Track可核验者为confirmed；仅Bill Gray独立判断者为probable。</t>
  </si>
  <si>
    <t>spacetrack | bill_gray | both | manual</t>
  </si>
  <si>
    <t>本工作簿只保存Bill Gray源记录，统一填写bill_gray。</t>
  </si>
  <si>
    <t>high | medium | low</t>
  </si>
  <si>
    <t>维护和人工核查优先级。</t>
  </si>
  <si>
    <t>active | inactive | decayed | impacted | escaped | unknown</t>
  </si>
  <si>
    <t>未地球再入不等于正常运行，mission_status不作运行状态断言。</t>
  </si>
  <si>
    <t>多个值用 | 分隔</t>
  </si>
  <si>
    <t>Bill Gray 名称行中的其他名称和临时编号。</t>
  </si>
  <si>
    <t>UR29394|C6ZAK42</t>
  </si>
  <si>
    <t>记录筛选阈值和计算结果摘要。</t>
  </si>
  <si>
    <t>半长轴大于 GEO 阈值</t>
  </si>
  <si>
    <t>ISO 8601 UTC</t>
  </si>
  <si>
    <t>YYYY-MM-DDThh:mm:ssZ</t>
  </si>
  <si>
    <t>本次数据检索日期。</t>
  </si>
  <si>
    <t>例：2026-10-12T00:00:00Z</t>
  </si>
  <si>
    <t>URL</t>
  </si>
  <si>
    <t>固定到 commit 和源 TLE 行号的 GitHub 链接。</t>
  </si>
  <si>
    <t>https://github.com/Bill-Gray/tles/</t>
  </si>
  <si>
    <t>TLE 行 1 的 Bill Gray 目录字段；不自动视为 NORAD 编号。</t>
  </si>
  <si>
    <t>79960|79998</t>
  </si>
  <si>
    <t>数值，km</t>
  </si>
  <si>
    <t>&gt; 42164</t>
  </si>
  <si>
    <t>由代表性 TLE 或 H 型状态矢量计算的地心半长轴。</t>
  </si>
  <si>
    <t>数值，day</t>
  </si>
  <si>
    <t>椭圆轨道对应的两体周期。</t>
  </si>
  <si>
    <t>距离仓库快照时间最近的代表性 TLE 历元。</t>
  </si>
  <si>
    <t>例：2026-09-14T00:00:00Z</t>
  </si>
  <si>
    <t>0 | 2 | H</t>
  </si>
  <si>
    <t>保留 Bill Gray 星历类型；H 不是标准 SGP4 TLE。</t>
  </si>
  <si>
    <t>tle_mean_motion | state_vector_energy</t>
  </si>
  <si>
    <t>标准 TLE 由平均运动换算；H 型由状态矢量两体能量计算。</t>
  </si>
  <si>
    <t>Git SHA</t>
  </si>
  <si>
    <t>用于复现本次结果的 Bill Gray 仓库提交。</t>
  </si>
  <si>
    <t>填写规则</t>
  </si>
  <si>
    <t>1</t>
  </si>
  <si>
    <t>一个物理目标只占一行；别名写入 aliases。</t>
  </si>
  <si>
    <t>NORAD 和 COSPAR 按文本填写，未知时留空，不把 Bill Gray 临时编号误作 NORAD。</t>
  </si>
  <si>
    <t>3</t>
  </si>
  <si>
    <t>canonical_object_id 投入使用后保持稳定，后续名称变化不修改主键。</t>
  </si>
  <si>
    <t>4</t>
  </si>
  <si>
    <t>identity_status 为 unmatched 的行需要在与 Space-Track 做内外符合前人工核验。</t>
  </si>
  <si>
    <t>5</t>
  </si>
  <si>
    <t>星历类型为 H 时不得交给只支持标准 SGP4/SDP4 的程序。</t>
  </si>
  <si>
    <t>本次检索与计算说明</t>
  </si>
  <si>
    <t>源仓库</t>
  </si>
  <si>
    <t>https://github.com/Bill-Gray/tles</t>
  </si>
  <si>
    <t>固定提交</t>
  </si>
  <si>
    <t>仓库快照</t>
  </si>
  <si>
    <t>UTC: 2026-09-14T22:56:56Z</t>
  </si>
  <si>
    <t>扫描范围</t>
  </si>
  <si>
    <t>根目录 *.tle；排除 old_tles/ 历史归档；按身份令牌传递去重。</t>
  </si>
  <si>
    <t>筛选阈值</t>
  </si>
  <si>
    <t>semi_major_axis_km &gt; 42164.0 km</t>
  </si>
  <si>
    <t>标准 TLE</t>
  </si>
  <si>
    <t>使用平均运动和地球引力常数 398600.4418 km^3/s^2 换算半长轴。</t>
  </si>
  <si>
    <t>H 型记录</t>
  </si>
  <si>
    <t>按 Project Pluto 定义解码地心状态矢量，再由两体比能计算瞬时半长轴。</t>
  </si>
  <si>
    <t>格式说明</t>
  </si>
  <si>
    <t>https://www.projectpluto.com/tle_info.htm</t>
  </si>
  <si>
    <t>结果</t>
  </si>
  <si>
    <t>79 个目标具有公开 NORAD 和/或有效 COSPAR 身份；可优先与 Space-Track 做内外符合。</t>
  </si>
  <si>
    <t>Bill Gray独立筛选说明</t>
  </si>
  <si>
    <t>原始记录</t>
  </si>
  <si>
    <t>最终保留</t>
  </si>
  <si>
    <t>确认PAYLOAD</t>
  </si>
  <si>
    <t>独立判定PAYLOAD</t>
  </si>
  <si>
    <t>删除记录</t>
  </si>
  <si>
    <t>筛选条件</t>
  </si>
  <si>
    <t>COSPAR发射年&gt;2000；PAYLOAD；未地球再入；Bill Gray半长轴&gt;42164 km</t>
  </si>
  <si>
    <t>独立性</t>
  </si>
  <si>
    <t>不因缺少本次Space-Track精确查询结果而删除；保留Bill Gray自身轨道值和来源字段。</t>
  </si>
  <si>
    <t>源提交</t>
  </si>
  <si>
    <t>状态限制</t>
  </si>
  <si>
    <t>未再入不等于正常运行；mission_status统一保留unknown。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</si>
</sst>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&quot;T&quot;hh:mm:ss&quot;Z&quot;"/>
    <numFmt numFmtId="177" formatCode="0.000"/>
    <numFmt numFmtId="178" formatCode="0.000000"/>
    <numFmt numFmtId="180" formatCode="[$-F800]dddd\,\ mmmm\ dd\,\ yyyy"/>
  </numFmts>
  <fonts count="10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6"/>
      <color rgb="FF1F2937"/>
      <name val="Arial"/>
      <family val="2"/>
    </font>
    <font>
      <i/>
      <sz val="10"/>
      <color rgb="FF4B5563"/>
      <name val="Arial"/>
      <family val="2"/>
    </font>
    <font>
      <b/>
      <sz val="11"/>
      <color rgb="FF1F2937"/>
      <name val="Arial"/>
      <family val="2"/>
    </font>
    <font>
      <b/>
      <sz val="10"/>
      <color rgb="FF1F4E78"/>
      <name val="Arial"/>
      <family val="2"/>
    </font>
    <font>
      <sz val="10"/>
      <color rgb="FF1F2937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top"/>
    </xf>
    <xf numFmtId="0" fontId="1" fillId="0" borderId="0" xfId="1" applyFont="1" applyAlignment="1">
      <alignment vertical="top" wrapText="1"/>
    </xf>
    <xf numFmtId="0" fontId="6" fillId="0" borderId="0" xfId="1" applyFont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6" fillId="0" borderId="0" xfId="1" applyFont="1" applyAlignment="1">
      <alignment vertical="top"/>
    </xf>
    <xf numFmtId="3" fontId="0" fillId="0" borderId="0" xfId="1" applyNumberFormat="1" applyFont="1"/>
    <xf numFmtId="0" fontId="0" fillId="0" borderId="0" xfId="1" applyFont="1" applyAlignment="1">
      <alignment wrapText="1"/>
    </xf>
    <xf numFmtId="0" fontId="7" fillId="0" borderId="0" xfId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horizontal="center" vertical="center"/>
    </xf>
    <xf numFmtId="178" fontId="7" fillId="0" borderId="0" xfId="1" applyNumberFormat="1" applyFont="1" applyAlignment="1">
      <alignment horizontal="center" vertical="center"/>
    </xf>
    <xf numFmtId="0" fontId="1" fillId="0" borderId="0" xfId="1" applyFont="1" applyAlignment="1">
      <alignment wrapText="1"/>
    </xf>
    <xf numFmtId="0" fontId="0" fillId="0" borderId="0" xfId="0"/>
    <xf numFmtId="0" fontId="5" fillId="4" borderId="4" xfId="1" applyFont="1" applyFill="1" applyBorder="1"/>
    <xf numFmtId="0" fontId="5" fillId="4" borderId="5" xfId="1" applyFont="1" applyFill="1" applyBorder="1"/>
    <xf numFmtId="0" fontId="5" fillId="4" borderId="6" xfId="1" applyFont="1" applyFill="1" applyBorder="1"/>
    <xf numFmtId="0" fontId="3" fillId="0" borderId="0" xfId="1" applyFont="1" applyAlignment="1">
      <alignment vertical="center"/>
    </xf>
    <xf numFmtId="0" fontId="4" fillId="0" borderId="0" xfId="1" applyFont="1"/>
    <xf numFmtId="180" fontId="7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30">
    <dxf>
      <numFmt numFmtId="180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7F6000"/>
      </font>
      <fill>
        <patternFill>
          <bgColor rgb="FFFFF2CC"/>
        </patternFill>
      </fill>
    </dxf>
    <dxf>
      <font>
        <b/>
        <color rgb="FFB91C1C"/>
      </font>
      <fill>
        <patternFill>
          <bgColor rgb="FFFDE9E7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B91C1C"/>
      </font>
      <fill>
        <patternFill>
          <bgColor rgb="FFFDE9E7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BillGrayRegistryTable" displayName="BillGrayRegistryTable" ref="A1:Y30" totalsRowShown="0" dataDxfId="29">
  <autoFilter ref="A1:Y30" xr:uid="{00000000-0009-0000-0100-000005000000}"/>
  <tableColumns count="25">
    <tableColumn id="1" xr3:uid="{00000000-0010-0000-0000-000001000000}" name="canonical_object_id" dataDxfId="28"/>
    <tableColumn id="2" xr3:uid="{00000000-0010-0000-0000-000002000000}" name="preferred_name" dataDxfId="27"/>
    <tableColumn id="4" xr3:uid="{00000000-0010-0000-0000-000004000000}" name="norad_cat_id" dataDxfId="26"/>
    <tableColumn id="5" xr3:uid="{00000000-0010-0000-0000-000005000000}" name="cospar_id" dataDxfId="25"/>
    <tableColumn id="6" xr3:uid="{00000000-0010-0000-0000-000006000000}" name="bill_gray_name" dataDxfId="24"/>
    <tableColumn id="7" xr3:uid="{00000000-0010-0000-0000-000007000000}" name="bill_gray_file" dataDxfId="23"/>
    <tableColumn id="8" xr3:uid="{00000000-0010-0000-0000-000008000000}" name="object_type" dataDxfId="22"/>
    <tableColumn id="9" xr3:uid="{00000000-0010-0000-0000-000009000000}" name="orbit_regime" dataDxfId="21"/>
    <tableColumn id="10" xr3:uid="{00000000-0010-0000-0000-00000A000000}" name="primary_body" dataDxfId="20"/>
    <tableColumn id="11" xr3:uid="{00000000-0010-0000-0000-00000B000000}" name="include" dataDxfId="19"/>
    <tableColumn id="12" xr3:uid="{00000000-0010-0000-0000-00000C000000}" name="identity_status" dataDxfId="18"/>
    <tableColumn id="13" xr3:uid="{00000000-0010-0000-0000-00000D000000}" name="source_scope" dataDxfId="17"/>
    <tableColumn id="14" xr3:uid="{00000000-0010-0000-0000-00000E000000}" name="priority" dataDxfId="16"/>
    <tableColumn id="15" xr3:uid="{00000000-0010-0000-0000-00000F000000}" name="mission_status" dataDxfId="15"/>
    <tableColumn id="16" xr3:uid="{00000000-0010-0000-0000-000010000000}" name="aliases" dataDxfId="14"/>
    <tableColumn id="17" xr3:uid="{00000000-0010-0000-0000-000011000000}" name="notes" dataDxfId="13"/>
    <tableColumn id="18" xr3:uid="{00000000-0010-0000-0000-000012000000}" name="last_verified_utc" dataDxfId="12"/>
    <tableColumn id="19" xr3:uid="{00000000-0010-0000-0000-000013000000}" name="source_url" dataDxfId="11"/>
    <tableColumn id="20" xr3:uid="{00000000-0010-0000-0000-000014000000}" name="bill_gray_catalog_id" dataDxfId="10"/>
    <tableColumn id="21" xr3:uid="{00000000-0010-0000-0000-000015000000}" name="semi_major_axis_km" dataDxfId="9"/>
    <tableColumn id="22" xr3:uid="{00000000-0010-0000-0000-000016000000}" name="period_days" dataDxfId="2"/>
    <tableColumn id="23" xr3:uid="{00000000-0010-0000-0000-000017000000}" name="tle_epoch_utc" dataDxfId="0"/>
    <tableColumn id="24" xr3:uid="{00000000-0010-0000-0000-000018000000}" name="ephemeris_type" dataDxfId="1"/>
    <tableColumn id="25" xr3:uid="{00000000-0010-0000-0000-000019000000}" name="semi_major_axis_method" dataDxfId="8"/>
    <tableColumn id="26" xr3:uid="{00000000-0010-0000-0000-00001A000000}" name="source_commi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ieldGuideTable" displayName="FieldGuideTable" ref="A4:F30" totalsRowShown="0">
  <tableColumns count="6">
    <tableColumn id="1" xr3:uid="{00000000-0010-0000-0100-000001000000}" name="字段名"/>
    <tableColumn id="2" xr3:uid="{00000000-0010-0000-0100-000002000000}" name="必填"/>
    <tableColumn id="3" xr3:uid="{00000000-0010-0000-0100-000003000000}" name="类型/格式"/>
    <tableColumn id="4" xr3:uid="{00000000-0010-0000-0100-000004000000}" name="可选值"/>
    <tableColumn id="5" xr3:uid="{00000000-0010-0000-0100-000005000000}" name="填写说明"/>
    <tableColumn id="6" xr3:uid="{00000000-0010-0000-0100-000006000000}" name="示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V23" sqref="V23"/>
    </sheetView>
  </sheetViews>
  <sheetFormatPr defaultRowHeight="14"/>
  <cols>
    <col min="1" max="1" width="22" customWidth="1"/>
    <col min="2" max="2" width="24" customWidth="1"/>
    <col min="3" max="3" width="18" customWidth="1"/>
    <col min="4" max="4" width="14" customWidth="1"/>
    <col min="5" max="5" width="15" customWidth="1"/>
    <col min="6" max="6" width="34" customWidth="1"/>
    <col min="7" max="7" width="21" customWidth="1"/>
    <col min="8" max="8" width="15" customWidth="1"/>
    <col min="9" max="10" width="14" customWidth="1"/>
    <col min="11" max="11" width="10" customWidth="1"/>
    <col min="12" max="12" width="16" customWidth="1"/>
    <col min="13" max="13" width="15" customWidth="1"/>
    <col min="14" max="14" width="11" customWidth="1"/>
    <col min="15" max="15" width="15" customWidth="1"/>
    <col min="16" max="16" width="32" customWidth="1"/>
    <col min="17" max="17" width="42" customWidth="1"/>
    <col min="18" max="18" width="21" customWidth="1"/>
    <col min="19" max="19" width="46" customWidth="1"/>
    <col min="20" max="21" width="20" customWidth="1"/>
    <col min="22" max="22" width="16" customWidth="1"/>
    <col min="23" max="23" width="22" customWidth="1"/>
    <col min="24" max="24" width="15" customWidth="1"/>
    <col min="25" max="25" width="28" customWidth="1"/>
    <col min="26" max="26" width="42" customWidth="1"/>
  </cols>
  <sheetData>
    <row r="1" spans="1:25" ht="30" customHeight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3" t="s">
        <v>25</v>
      </c>
    </row>
    <row r="2" spans="1:25" ht="22" customHeight="1">
      <c r="A2" s="11" t="s">
        <v>26</v>
      </c>
      <c r="B2" s="11" t="s">
        <v>27</v>
      </c>
      <c r="C2" s="12" t="s">
        <v>28</v>
      </c>
      <c r="D2" s="12" t="s">
        <v>29</v>
      </c>
      <c r="E2" s="11" t="s">
        <v>30</v>
      </c>
      <c r="F2" s="11" t="s">
        <v>31</v>
      </c>
      <c r="G2" s="11" t="s">
        <v>32</v>
      </c>
      <c r="H2" s="11" t="s">
        <v>33</v>
      </c>
      <c r="I2" s="11" t="s">
        <v>34</v>
      </c>
      <c r="J2" s="11" t="s">
        <v>35</v>
      </c>
      <c r="K2" s="11" t="s">
        <v>36</v>
      </c>
      <c r="L2" s="11" t="s">
        <v>37</v>
      </c>
      <c r="M2" s="11" t="s">
        <v>38</v>
      </c>
      <c r="N2" s="11" t="s">
        <v>39</v>
      </c>
      <c r="O2" s="11" t="s">
        <v>29</v>
      </c>
      <c r="P2" s="11" t="s">
        <v>40</v>
      </c>
      <c r="Q2" s="13">
        <v>46307</v>
      </c>
      <c r="R2" s="11" t="s">
        <v>41</v>
      </c>
      <c r="S2" s="11" t="s">
        <v>28</v>
      </c>
      <c r="T2" s="14">
        <v>81109.706999999995</v>
      </c>
      <c r="U2" s="15">
        <v>2.6607648099999999</v>
      </c>
      <c r="V2" s="23">
        <v>46022.499199259262</v>
      </c>
      <c r="W2" s="12" t="s">
        <v>42</v>
      </c>
      <c r="X2" s="11" t="s">
        <v>43</v>
      </c>
      <c r="Y2" s="11" t="s">
        <v>44</v>
      </c>
    </row>
    <row r="3" spans="1:25" ht="22" customHeight="1">
      <c r="A3" s="11" t="s">
        <v>45</v>
      </c>
      <c r="B3" s="11" t="s">
        <v>46</v>
      </c>
      <c r="C3" s="12" t="s">
        <v>47</v>
      </c>
      <c r="D3" s="12" t="s">
        <v>48</v>
      </c>
      <c r="E3" s="11" t="s">
        <v>49</v>
      </c>
      <c r="F3" s="11" t="s">
        <v>50</v>
      </c>
      <c r="G3" s="11" t="s">
        <v>32</v>
      </c>
      <c r="H3" s="11" t="s">
        <v>33</v>
      </c>
      <c r="I3" s="11" t="s">
        <v>34</v>
      </c>
      <c r="J3" s="11" t="s">
        <v>35</v>
      </c>
      <c r="K3" s="11" t="s">
        <v>36</v>
      </c>
      <c r="L3" s="11" t="s">
        <v>37</v>
      </c>
      <c r="M3" s="11" t="s">
        <v>38</v>
      </c>
      <c r="N3" s="11" t="s">
        <v>39</v>
      </c>
      <c r="O3" s="11" t="s">
        <v>48</v>
      </c>
      <c r="P3" s="11" t="s">
        <v>51</v>
      </c>
      <c r="Q3" s="13">
        <v>46307</v>
      </c>
      <c r="R3" s="11" t="s">
        <v>52</v>
      </c>
      <c r="S3" s="11" t="s">
        <v>47</v>
      </c>
      <c r="T3" s="14">
        <v>46050.665000000001</v>
      </c>
      <c r="U3" s="15">
        <v>1.1382852299999999</v>
      </c>
      <c r="V3" s="23">
        <v>44703.499199259262</v>
      </c>
      <c r="W3" s="12" t="s">
        <v>42</v>
      </c>
      <c r="X3" s="11" t="s">
        <v>43</v>
      </c>
      <c r="Y3" s="11" t="s">
        <v>44</v>
      </c>
    </row>
    <row r="4" spans="1:25" ht="22" customHeight="1">
      <c r="A4" s="11" t="s">
        <v>53</v>
      </c>
      <c r="B4" s="11" t="s">
        <v>54</v>
      </c>
      <c r="C4" s="12" t="s">
        <v>55</v>
      </c>
      <c r="D4" s="12" t="s">
        <v>56</v>
      </c>
      <c r="E4" s="11" t="s">
        <v>57</v>
      </c>
      <c r="F4" s="11" t="s">
        <v>58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  <c r="L4" s="11" t="s">
        <v>37</v>
      </c>
      <c r="M4" s="11" t="s">
        <v>38</v>
      </c>
      <c r="N4" s="11" t="s">
        <v>39</v>
      </c>
      <c r="O4" s="11" t="s">
        <v>56</v>
      </c>
      <c r="P4" s="11" t="s">
        <v>59</v>
      </c>
      <c r="Q4" s="13">
        <v>46307</v>
      </c>
      <c r="R4" s="11" t="s">
        <v>60</v>
      </c>
      <c r="S4" s="11" t="s">
        <v>55</v>
      </c>
      <c r="T4" s="14">
        <v>46052.79</v>
      </c>
      <c r="U4" s="15">
        <v>1.1383640100000001</v>
      </c>
      <c r="V4" s="23">
        <v>44703.499199259262</v>
      </c>
      <c r="W4" s="12" t="s">
        <v>42</v>
      </c>
      <c r="X4" s="11" t="s">
        <v>43</v>
      </c>
      <c r="Y4" s="11" t="s">
        <v>44</v>
      </c>
    </row>
    <row r="5" spans="1:25" ht="22" customHeight="1">
      <c r="A5" s="11" t="s">
        <v>61</v>
      </c>
      <c r="B5" s="11" t="s">
        <v>62</v>
      </c>
      <c r="C5" s="12" t="s">
        <v>63</v>
      </c>
      <c r="D5" s="12" t="s">
        <v>64</v>
      </c>
      <c r="E5" s="11" t="s">
        <v>65</v>
      </c>
      <c r="F5" s="11" t="s">
        <v>66</v>
      </c>
      <c r="G5" s="11" t="s">
        <v>32</v>
      </c>
      <c r="H5" s="11" t="s">
        <v>33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1" t="s">
        <v>39</v>
      </c>
      <c r="O5" s="11" t="s">
        <v>64</v>
      </c>
      <c r="P5" s="11" t="s">
        <v>67</v>
      </c>
      <c r="Q5" s="13">
        <v>46307</v>
      </c>
      <c r="R5" s="11" t="s">
        <v>68</v>
      </c>
      <c r="S5" s="11" t="s">
        <v>63</v>
      </c>
      <c r="T5" s="14">
        <v>46050.180999999997</v>
      </c>
      <c r="U5" s="15">
        <v>1.13826728</v>
      </c>
      <c r="V5" s="23">
        <v>44703.499199259262</v>
      </c>
      <c r="W5" s="12" t="s">
        <v>42</v>
      </c>
      <c r="X5" s="11" t="s">
        <v>43</v>
      </c>
      <c r="Y5" s="11" t="s">
        <v>44</v>
      </c>
    </row>
    <row r="6" spans="1:25" ht="22" customHeight="1">
      <c r="A6" s="11" t="s">
        <v>69</v>
      </c>
      <c r="B6" s="11" t="s">
        <v>70</v>
      </c>
      <c r="C6" s="12" t="s">
        <v>71</v>
      </c>
      <c r="D6" s="12" t="s">
        <v>72</v>
      </c>
      <c r="E6" s="11" t="s">
        <v>73</v>
      </c>
      <c r="F6" s="11" t="s">
        <v>74</v>
      </c>
      <c r="G6" s="11" t="s">
        <v>32</v>
      </c>
      <c r="H6" s="11" t="s">
        <v>33</v>
      </c>
      <c r="I6" s="11" t="s">
        <v>34</v>
      </c>
      <c r="J6" s="11" t="s">
        <v>35</v>
      </c>
      <c r="K6" s="11" t="s">
        <v>36</v>
      </c>
      <c r="L6" s="11" t="s">
        <v>37</v>
      </c>
      <c r="M6" s="11" t="s">
        <v>38</v>
      </c>
      <c r="N6" s="11" t="s">
        <v>39</v>
      </c>
      <c r="O6" s="11" t="s">
        <v>75</v>
      </c>
      <c r="P6" s="11" t="s">
        <v>76</v>
      </c>
      <c r="Q6" s="13">
        <v>46307</v>
      </c>
      <c r="R6" s="11" t="s">
        <v>77</v>
      </c>
      <c r="S6" s="11" t="s">
        <v>71</v>
      </c>
      <c r="T6" s="14">
        <v>186791.19099999999</v>
      </c>
      <c r="U6" s="15">
        <v>9.2989053100000003</v>
      </c>
      <c r="V6" s="23">
        <v>46022.499199259262</v>
      </c>
      <c r="W6" s="12" t="s">
        <v>42</v>
      </c>
      <c r="X6" s="11" t="s">
        <v>43</v>
      </c>
      <c r="Y6" s="11" t="s">
        <v>44</v>
      </c>
    </row>
    <row r="7" spans="1:25" ht="22" customHeight="1">
      <c r="A7" s="11" t="s">
        <v>78</v>
      </c>
      <c r="B7" s="11" t="s">
        <v>79</v>
      </c>
      <c r="C7" s="12" t="s">
        <v>80</v>
      </c>
      <c r="D7" s="12" t="s">
        <v>81</v>
      </c>
      <c r="E7" s="11" t="s">
        <v>82</v>
      </c>
      <c r="F7" s="11" t="s">
        <v>83</v>
      </c>
      <c r="G7" s="11" t="s">
        <v>32</v>
      </c>
      <c r="H7" s="11" t="s">
        <v>33</v>
      </c>
      <c r="I7" s="11" t="s">
        <v>34</v>
      </c>
      <c r="J7" s="11" t="s">
        <v>35</v>
      </c>
      <c r="K7" s="11" t="s">
        <v>36</v>
      </c>
      <c r="L7" s="11" t="s">
        <v>37</v>
      </c>
      <c r="M7" s="11" t="s">
        <v>38</v>
      </c>
      <c r="N7" s="11" t="s">
        <v>39</v>
      </c>
      <c r="O7" s="11" t="s">
        <v>81</v>
      </c>
      <c r="P7" s="11" t="s">
        <v>84</v>
      </c>
      <c r="Q7" s="13">
        <v>46307</v>
      </c>
      <c r="R7" s="11" t="s">
        <v>85</v>
      </c>
      <c r="S7" s="11" t="s">
        <v>80</v>
      </c>
      <c r="T7" s="14">
        <v>175257.359</v>
      </c>
      <c r="U7" s="15">
        <v>8.4510686899999996</v>
      </c>
      <c r="V7" s="23">
        <v>46022.499199259262</v>
      </c>
      <c r="W7" s="12" t="s">
        <v>42</v>
      </c>
      <c r="X7" s="11" t="s">
        <v>43</v>
      </c>
      <c r="Y7" s="11" t="s">
        <v>44</v>
      </c>
    </row>
    <row r="8" spans="1:25" ht="22" customHeight="1">
      <c r="A8" s="11" t="s">
        <v>86</v>
      </c>
      <c r="B8" s="11" t="s">
        <v>87</v>
      </c>
      <c r="C8" s="12" t="s">
        <v>88</v>
      </c>
      <c r="D8" s="12" t="s">
        <v>89</v>
      </c>
      <c r="E8" s="11" t="s">
        <v>90</v>
      </c>
      <c r="F8" s="11" t="s">
        <v>91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  <c r="N8" s="11" t="s">
        <v>39</v>
      </c>
      <c r="O8" s="11" t="s">
        <v>89</v>
      </c>
      <c r="P8" s="11" t="s">
        <v>92</v>
      </c>
      <c r="Q8" s="13">
        <v>46307</v>
      </c>
      <c r="R8" s="11" t="s">
        <v>93</v>
      </c>
      <c r="S8" s="11" t="s">
        <v>88</v>
      </c>
      <c r="T8" s="14">
        <v>250945.51</v>
      </c>
      <c r="U8" s="15">
        <v>14.479927350000001</v>
      </c>
      <c r="V8" s="23">
        <v>46022.499199259262</v>
      </c>
      <c r="W8" s="12" t="s">
        <v>42</v>
      </c>
      <c r="X8" s="11" t="s">
        <v>43</v>
      </c>
      <c r="Y8" s="11" t="s">
        <v>44</v>
      </c>
    </row>
    <row r="9" spans="1:25" ht="22" customHeight="1">
      <c r="A9" s="11" t="s">
        <v>94</v>
      </c>
      <c r="B9" s="11" t="s">
        <v>95</v>
      </c>
      <c r="C9" s="12" t="s">
        <v>96</v>
      </c>
      <c r="D9" s="12" t="s">
        <v>97</v>
      </c>
      <c r="E9" s="11" t="s">
        <v>98</v>
      </c>
      <c r="F9" s="11" t="s">
        <v>99</v>
      </c>
      <c r="G9" s="11" t="s">
        <v>32</v>
      </c>
      <c r="H9" s="11" t="s">
        <v>33</v>
      </c>
      <c r="I9" s="11" t="s">
        <v>34</v>
      </c>
      <c r="J9" s="11" t="s">
        <v>35</v>
      </c>
      <c r="K9" s="11" t="s">
        <v>36</v>
      </c>
      <c r="L9" s="11" t="s">
        <v>37</v>
      </c>
      <c r="M9" s="11" t="s">
        <v>38</v>
      </c>
      <c r="N9" s="11" t="s">
        <v>39</v>
      </c>
      <c r="O9" s="11" t="s">
        <v>97</v>
      </c>
      <c r="P9" s="11" t="s">
        <v>100</v>
      </c>
      <c r="Q9" s="13">
        <v>46307</v>
      </c>
      <c r="R9" s="11" t="s">
        <v>101</v>
      </c>
      <c r="S9" s="11" t="s">
        <v>96</v>
      </c>
      <c r="T9" s="14">
        <v>193948.54</v>
      </c>
      <c r="U9" s="15">
        <v>9.8384574499999999</v>
      </c>
      <c r="V9" s="23">
        <v>43244.499199259262</v>
      </c>
      <c r="W9" s="12" t="s">
        <v>42</v>
      </c>
      <c r="X9" s="11" t="s">
        <v>43</v>
      </c>
      <c r="Y9" s="11" t="s">
        <v>44</v>
      </c>
    </row>
    <row r="10" spans="1:25" ht="22" customHeight="1">
      <c r="A10" s="11" t="s">
        <v>102</v>
      </c>
      <c r="B10" s="11" t="s">
        <v>103</v>
      </c>
      <c r="C10" s="12" t="s">
        <v>104</v>
      </c>
      <c r="D10" s="12" t="s">
        <v>105</v>
      </c>
      <c r="E10" s="11" t="s">
        <v>106</v>
      </c>
      <c r="F10" s="11" t="s">
        <v>107</v>
      </c>
      <c r="G10" s="11" t="s">
        <v>32</v>
      </c>
      <c r="H10" s="11" t="s">
        <v>33</v>
      </c>
      <c r="I10" s="11" t="s">
        <v>34</v>
      </c>
      <c r="J10" s="11" t="s">
        <v>35</v>
      </c>
      <c r="K10" s="11" t="s">
        <v>108</v>
      </c>
      <c r="L10" s="11" t="s">
        <v>37</v>
      </c>
      <c r="M10" s="11" t="s">
        <v>38</v>
      </c>
      <c r="N10" s="11" t="s">
        <v>39</v>
      </c>
      <c r="O10" s="11" t="s">
        <v>105</v>
      </c>
      <c r="P10" s="11" t="s">
        <v>109</v>
      </c>
      <c r="Q10" s="13">
        <v>46307</v>
      </c>
      <c r="R10" s="11" t="s">
        <v>110</v>
      </c>
      <c r="S10" s="11" t="s">
        <v>104</v>
      </c>
      <c r="T10" s="14">
        <v>854467.25899999996</v>
      </c>
      <c r="U10" s="15">
        <v>90.978836290000004</v>
      </c>
      <c r="V10" s="23">
        <v>46021.999199259262</v>
      </c>
      <c r="W10" s="12" t="s">
        <v>111</v>
      </c>
      <c r="X10" s="11" t="s">
        <v>112</v>
      </c>
      <c r="Y10" s="11" t="s">
        <v>44</v>
      </c>
    </row>
    <row r="11" spans="1:25" ht="22" customHeight="1">
      <c r="A11" s="11" t="s">
        <v>113</v>
      </c>
      <c r="B11" s="11" t="s">
        <v>114</v>
      </c>
      <c r="C11" s="12" t="s">
        <v>115</v>
      </c>
      <c r="D11" s="12" t="s">
        <v>116</v>
      </c>
      <c r="E11" s="11" t="s">
        <v>117</v>
      </c>
      <c r="F11" s="11" t="s">
        <v>118</v>
      </c>
      <c r="G11" s="11" t="s">
        <v>32</v>
      </c>
      <c r="H11" s="11" t="s">
        <v>33</v>
      </c>
      <c r="I11" s="11" t="s">
        <v>34</v>
      </c>
      <c r="J11" s="11" t="s">
        <v>35</v>
      </c>
      <c r="K11" s="11" t="s">
        <v>36</v>
      </c>
      <c r="L11" s="11" t="s">
        <v>37</v>
      </c>
      <c r="M11" s="11" t="s">
        <v>38</v>
      </c>
      <c r="N11" s="11" t="s">
        <v>39</v>
      </c>
      <c r="O11" s="11" t="s">
        <v>116</v>
      </c>
      <c r="P11" s="11" t="s">
        <v>119</v>
      </c>
      <c r="Q11" s="13">
        <v>46307</v>
      </c>
      <c r="R11" s="11" t="s">
        <v>120</v>
      </c>
      <c r="S11" s="11" t="s">
        <v>115</v>
      </c>
      <c r="T11" s="14">
        <v>860183.18700000003</v>
      </c>
      <c r="U11" s="15">
        <v>91.893260819999995</v>
      </c>
      <c r="V11" s="23">
        <v>46021.999199259262</v>
      </c>
      <c r="W11" s="12" t="s">
        <v>111</v>
      </c>
      <c r="X11" s="11" t="s">
        <v>112</v>
      </c>
      <c r="Y11" s="11" t="s">
        <v>44</v>
      </c>
    </row>
    <row r="12" spans="1:25" ht="22" customHeight="1">
      <c r="A12" s="11" t="s">
        <v>121</v>
      </c>
      <c r="B12" s="11" t="s">
        <v>122</v>
      </c>
      <c r="C12" s="12" t="s">
        <v>123</v>
      </c>
      <c r="D12" s="12" t="s">
        <v>124</v>
      </c>
      <c r="E12" s="11" t="s">
        <v>125</v>
      </c>
      <c r="F12" s="11" t="s">
        <v>126</v>
      </c>
      <c r="G12" s="11" t="s">
        <v>32</v>
      </c>
      <c r="H12" s="11" t="s">
        <v>33</v>
      </c>
      <c r="I12" s="11" t="s">
        <v>34</v>
      </c>
      <c r="J12" s="11" t="s">
        <v>35</v>
      </c>
      <c r="K12" s="11" t="s">
        <v>108</v>
      </c>
      <c r="L12" s="11" t="s">
        <v>37</v>
      </c>
      <c r="M12" s="11" t="s">
        <v>38</v>
      </c>
      <c r="N12" s="11" t="s">
        <v>39</v>
      </c>
      <c r="O12" s="11" t="s">
        <v>124</v>
      </c>
      <c r="P12" s="11" t="s">
        <v>127</v>
      </c>
      <c r="Q12" s="13">
        <v>46307</v>
      </c>
      <c r="R12" s="11" t="s">
        <v>128</v>
      </c>
      <c r="S12" s="11" t="s">
        <v>123</v>
      </c>
      <c r="T12" s="14">
        <v>938854.83799999999</v>
      </c>
      <c r="U12" s="15">
        <v>104.78398500999999</v>
      </c>
      <c r="V12" s="23">
        <v>45007.999199259262</v>
      </c>
      <c r="W12" s="12" t="s">
        <v>111</v>
      </c>
      <c r="X12" s="11" t="s">
        <v>112</v>
      </c>
      <c r="Y12" s="11" t="s">
        <v>44</v>
      </c>
    </row>
    <row r="13" spans="1:25" ht="22" customHeight="1">
      <c r="A13" s="11" t="s">
        <v>129</v>
      </c>
      <c r="B13" s="11" t="s">
        <v>130</v>
      </c>
      <c r="C13" s="12" t="s">
        <v>131</v>
      </c>
      <c r="D13" s="12" t="s">
        <v>132</v>
      </c>
      <c r="E13" s="11" t="s">
        <v>133</v>
      </c>
      <c r="F13" s="11" t="s">
        <v>134</v>
      </c>
      <c r="G13" s="11" t="s">
        <v>32</v>
      </c>
      <c r="H13" s="11" t="s">
        <v>33</v>
      </c>
      <c r="I13" s="11" t="s">
        <v>34</v>
      </c>
      <c r="J13" s="11" t="s">
        <v>35</v>
      </c>
      <c r="K13" s="11" t="s">
        <v>108</v>
      </c>
      <c r="L13" s="11" t="s">
        <v>37</v>
      </c>
      <c r="M13" s="11" t="s">
        <v>38</v>
      </c>
      <c r="N13" s="11" t="s">
        <v>39</v>
      </c>
      <c r="O13" s="11" t="s">
        <v>132</v>
      </c>
      <c r="P13" s="11" t="s">
        <v>135</v>
      </c>
      <c r="Q13" s="13">
        <v>46307</v>
      </c>
      <c r="R13" s="11" t="s">
        <v>136</v>
      </c>
      <c r="S13" s="11" t="s">
        <v>131</v>
      </c>
      <c r="T13" s="14">
        <v>552963.07200000004</v>
      </c>
      <c r="U13" s="15">
        <v>47.363243070000003</v>
      </c>
      <c r="V13" s="23">
        <v>45004.999199259262</v>
      </c>
      <c r="W13" s="12" t="s">
        <v>111</v>
      </c>
      <c r="X13" s="11" t="s">
        <v>112</v>
      </c>
      <c r="Y13" s="11" t="s">
        <v>44</v>
      </c>
    </row>
    <row r="14" spans="1:25" ht="22" customHeight="1">
      <c r="A14" s="11" t="s">
        <v>137</v>
      </c>
      <c r="B14" s="11" t="s">
        <v>138</v>
      </c>
      <c r="C14" s="12" t="s">
        <v>139</v>
      </c>
      <c r="D14" s="12" t="s">
        <v>140</v>
      </c>
      <c r="E14" s="11" t="s">
        <v>141</v>
      </c>
      <c r="F14" s="11" t="s">
        <v>142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108</v>
      </c>
      <c r="L14" s="11" t="s">
        <v>37</v>
      </c>
      <c r="M14" s="11" t="s">
        <v>38</v>
      </c>
      <c r="N14" s="11" t="s">
        <v>39</v>
      </c>
      <c r="O14" s="11" t="s">
        <v>140</v>
      </c>
      <c r="P14" s="11" t="s">
        <v>143</v>
      </c>
      <c r="Q14" s="13">
        <v>46307</v>
      </c>
      <c r="R14" s="11" t="s">
        <v>144</v>
      </c>
      <c r="S14" s="11" t="s">
        <v>139</v>
      </c>
      <c r="T14" s="14">
        <v>856206.53</v>
      </c>
      <c r="U14" s="15">
        <v>91.256759200000005</v>
      </c>
      <c r="V14" s="23">
        <v>46021.999199259262</v>
      </c>
      <c r="W14" s="12" t="s">
        <v>111</v>
      </c>
      <c r="X14" s="11" t="s">
        <v>112</v>
      </c>
      <c r="Y14" s="11" t="s">
        <v>44</v>
      </c>
    </row>
    <row r="15" spans="1:25" ht="22" customHeight="1">
      <c r="A15" s="11" t="s">
        <v>145</v>
      </c>
      <c r="B15" s="11" t="s">
        <v>146</v>
      </c>
      <c r="C15" s="12" t="s">
        <v>147</v>
      </c>
      <c r="D15" s="12" t="s">
        <v>148</v>
      </c>
      <c r="E15" s="11" t="s">
        <v>149</v>
      </c>
      <c r="F15" s="11" t="s">
        <v>150</v>
      </c>
      <c r="G15" s="11" t="s">
        <v>32</v>
      </c>
      <c r="H15" s="11" t="s">
        <v>33</v>
      </c>
      <c r="I15" s="11" t="s">
        <v>34</v>
      </c>
      <c r="J15" s="11" t="s">
        <v>35</v>
      </c>
      <c r="K15" s="11" t="s">
        <v>108</v>
      </c>
      <c r="L15" s="11" t="s">
        <v>37</v>
      </c>
      <c r="M15" s="11" t="s">
        <v>38</v>
      </c>
      <c r="N15" s="11" t="s">
        <v>39</v>
      </c>
      <c r="O15" s="11" t="s">
        <v>148</v>
      </c>
      <c r="P15" s="11" t="s">
        <v>151</v>
      </c>
      <c r="Q15" s="13">
        <v>46307</v>
      </c>
      <c r="R15" s="11" t="s">
        <v>152</v>
      </c>
      <c r="S15" s="11" t="s">
        <v>147</v>
      </c>
      <c r="T15" s="14">
        <v>187059.11499999999</v>
      </c>
      <c r="U15" s="15">
        <v>9.3189193299999999</v>
      </c>
      <c r="V15" s="23">
        <v>45141.899199270832</v>
      </c>
      <c r="W15" s="12" t="s">
        <v>42</v>
      </c>
      <c r="X15" s="11" t="s">
        <v>43</v>
      </c>
      <c r="Y15" s="11" t="s">
        <v>44</v>
      </c>
    </row>
    <row r="16" spans="1:25" ht="22" customHeight="1">
      <c r="A16" s="11" t="s">
        <v>153</v>
      </c>
      <c r="B16" s="11" t="s">
        <v>154</v>
      </c>
      <c r="C16" s="12" t="s">
        <v>155</v>
      </c>
      <c r="D16" s="12" t="s">
        <v>156</v>
      </c>
      <c r="E16" s="11" t="s">
        <v>157</v>
      </c>
      <c r="F16" s="11" t="s">
        <v>158</v>
      </c>
      <c r="G16" s="11" t="s">
        <v>32</v>
      </c>
      <c r="H16" s="11" t="s">
        <v>33</v>
      </c>
      <c r="I16" s="11" t="s">
        <v>34</v>
      </c>
      <c r="J16" s="11" t="s">
        <v>35</v>
      </c>
      <c r="K16" s="11" t="s">
        <v>36</v>
      </c>
      <c r="L16" s="11" t="s">
        <v>37</v>
      </c>
      <c r="M16" s="11" t="s">
        <v>38</v>
      </c>
      <c r="N16" s="11" t="s">
        <v>39</v>
      </c>
      <c r="O16" s="11" t="s">
        <v>156</v>
      </c>
      <c r="P16" s="11" t="s">
        <v>159</v>
      </c>
      <c r="Q16" s="13">
        <v>46307</v>
      </c>
      <c r="R16" s="11" t="s">
        <v>160</v>
      </c>
      <c r="S16" s="11" t="s">
        <v>155</v>
      </c>
      <c r="T16" s="14">
        <v>618025.91399999999</v>
      </c>
      <c r="U16" s="15">
        <v>55.963809120000001</v>
      </c>
      <c r="V16" s="23">
        <v>46021.999199259262</v>
      </c>
      <c r="W16" s="12" t="s">
        <v>111</v>
      </c>
      <c r="X16" s="11" t="s">
        <v>112</v>
      </c>
      <c r="Y16" s="11" t="s">
        <v>44</v>
      </c>
    </row>
    <row r="17" spans="1:25" ht="22" customHeight="1">
      <c r="A17" s="11" t="s">
        <v>161</v>
      </c>
      <c r="B17" s="11" t="s">
        <v>162</v>
      </c>
      <c r="C17" s="12" t="s">
        <v>163</v>
      </c>
      <c r="D17" s="12" t="s">
        <v>164</v>
      </c>
      <c r="E17" s="11" t="s">
        <v>162</v>
      </c>
      <c r="F17" s="11" t="s">
        <v>165</v>
      </c>
      <c r="G17" s="11" t="s">
        <v>32</v>
      </c>
      <c r="H17" s="11" t="s">
        <v>33</v>
      </c>
      <c r="I17" s="11" t="s">
        <v>34</v>
      </c>
      <c r="J17" s="11" t="s">
        <v>35</v>
      </c>
      <c r="K17" s="11" t="s">
        <v>108</v>
      </c>
      <c r="L17" s="11" t="s">
        <v>37</v>
      </c>
      <c r="M17" s="11" t="s">
        <v>38</v>
      </c>
      <c r="N17" s="11" t="s">
        <v>39</v>
      </c>
      <c r="O17" s="11"/>
      <c r="P17" s="11" t="s">
        <v>166</v>
      </c>
      <c r="Q17" s="13">
        <v>46307</v>
      </c>
      <c r="R17" s="11" t="s">
        <v>167</v>
      </c>
      <c r="S17" s="11" t="s">
        <v>163</v>
      </c>
      <c r="T17" s="14">
        <v>445520.97600000002</v>
      </c>
      <c r="U17" s="15">
        <v>34.253067620000003</v>
      </c>
      <c r="V17" s="23">
        <v>45283.999199259262</v>
      </c>
      <c r="W17" s="12" t="s">
        <v>111</v>
      </c>
      <c r="X17" s="11" t="s">
        <v>112</v>
      </c>
      <c r="Y17" s="11" t="s">
        <v>44</v>
      </c>
    </row>
    <row r="18" spans="1:25" ht="22" customHeight="1">
      <c r="A18" s="11" t="s">
        <v>168</v>
      </c>
      <c r="B18" s="11" t="s">
        <v>169</v>
      </c>
      <c r="C18" s="12" t="s">
        <v>170</v>
      </c>
      <c r="D18" s="12" t="s">
        <v>171</v>
      </c>
      <c r="E18" s="11" t="s">
        <v>172</v>
      </c>
      <c r="F18" s="11" t="s">
        <v>173</v>
      </c>
      <c r="G18" s="11" t="s">
        <v>32</v>
      </c>
      <c r="H18" s="11" t="s">
        <v>33</v>
      </c>
      <c r="I18" s="11" t="s">
        <v>34</v>
      </c>
      <c r="J18" s="11" t="s">
        <v>35</v>
      </c>
      <c r="K18" s="11" t="s">
        <v>108</v>
      </c>
      <c r="L18" s="11" t="s">
        <v>37</v>
      </c>
      <c r="M18" s="11" t="s">
        <v>38</v>
      </c>
      <c r="N18" s="11" t="s">
        <v>39</v>
      </c>
      <c r="O18" s="11" t="s">
        <v>171</v>
      </c>
      <c r="P18" s="11" t="s">
        <v>174</v>
      </c>
      <c r="Q18" s="13">
        <v>46307</v>
      </c>
      <c r="R18" s="11" t="s">
        <v>175</v>
      </c>
      <c r="S18" s="11" t="s">
        <v>170</v>
      </c>
      <c r="T18" s="14">
        <v>206584.02299999999</v>
      </c>
      <c r="U18" s="15">
        <v>10.81539368</v>
      </c>
      <c r="V18" s="23">
        <v>45342.999199259262</v>
      </c>
      <c r="W18" s="12" t="s">
        <v>111</v>
      </c>
      <c r="X18" s="11" t="s">
        <v>112</v>
      </c>
      <c r="Y18" s="11" t="s">
        <v>44</v>
      </c>
    </row>
    <row r="19" spans="1:25" ht="22" customHeight="1">
      <c r="A19" s="11" t="s">
        <v>176</v>
      </c>
      <c r="B19" s="11" t="s">
        <v>177</v>
      </c>
      <c r="C19" s="12" t="s">
        <v>178</v>
      </c>
      <c r="D19" s="12" t="s">
        <v>179</v>
      </c>
      <c r="E19" s="11" t="s">
        <v>180</v>
      </c>
      <c r="F19" s="11" t="s">
        <v>181</v>
      </c>
      <c r="G19" s="11" t="s">
        <v>32</v>
      </c>
      <c r="H19" s="11" t="s">
        <v>33</v>
      </c>
      <c r="I19" s="11" t="s">
        <v>34</v>
      </c>
      <c r="J19" s="11" t="s">
        <v>35</v>
      </c>
      <c r="K19" s="11" t="s">
        <v>36</v>
      </c>
      <c r="L19" s="11" t="s">
        <v>37</v>
      </c>
      <c r="M19" s="11" t="s">
        <v>38</v>
      </c>
      <c r="N19" s="11" t="s">
        <v>39</v>
      </c>
      <c r="O19" s="11" t="s">
        <v>179</v>
      </c>
      <c r="P19" s="11" t="s">
        <v>182</v>
      </c>
      <c r="Q19" s="13">
        <v>46307</v>
      </c>
      <c r="R19" s="11" t="s">
        <v>183</v>
      </c>
      <c r="S19" s="11" t="s">
        <v>178</v>
      </c>
      <c r="T19" s="14">
        <v>372897.125</v>
      </c>
      <c r="U19" s="15">
        <v>26.228943040000001</v>
      </c>
      <c r="V19" s="23">
        <v>46202.999199259262</v>
      </c>
      <c r="W19" s="12" t="s">
        <v>111</v>
      </c>
      <c r="X19" s="11" t="s">
        <v>112</v>
      </c>
      <c r="Y19" s="11" t="s">
        <v>44</v>
      </c>
    </row>
    <row r="20" spans="1:25" ht="22" customHeight="1">
      <c r="A20" s="11" t="s">
        <v>184</v>
      </c>
      <c r="B20" s="11" t="s">
        <v>185</v>
      </c>
      <c r="C20" s="12" t="s">
        <v>186</v>
      </c>
      <c r="D20" s="12" t="s">
        <v>187</v>
      </c>
      <c r="E20" s="11" t="s">
        <v>188</v>
      </c>
      <c r="F20" s="11" t="s">
        <v>189</v>
      </c>
      <c r="G20" s="11" t="s">
        <v>32</v>
      </c>
      <c r="H20" s="11" t="s">
        <v>33</v>
      </c>
      <c r="I20" s="11" t="s">
        <v>34</v>
      </c>
      <c r="J20" s="11" t="s">
        <v>35</v>
      </c>
      <c r="K20" s="11" t="s">
        <v>108</v>
      </c>
      <c r="L20" s="11" t="s">
        <v>37</v>
      </c>
      <c r="M20" s="11" t="s">
        <v>38</v>
      </c>
      <c r="N20" s="11" t="s">
        <v>39</v>
      </c>
      <c r="O20" s="11" t="s">
        <v>187</v>
      </c>
      <c r="P20" s="11" t="s">
        <v>190</v>
      </c>
      <c r="Q20" s="13">
        <v>46307</v>
      </c>
      <c r="R20" s="11" t="s">
        <v>191</v>
      </c>
      <c r="S20" s="11" t="s">
        <v>186</v>
      </c>
      <c r="T20" s="14">
        <v>208726.16899999999</v>
      </c>
      <c r="U20" s="15">
        <v>10.984052269999999</v>
      </c>
      <c r="V20" s="23">
        <v>45374.999199259262</v>
      </c>
      <c r="W20" s="12" t="s">
        <v>111</v>
      </c>
      <c r="X20" s="11" t="s">
        <v>112</v>
      </c>
      <c r="Y20" s="11" t="s">
        <v>44</v>
      </c>
    </row>
    <row r="21" spans="1:25" ht="22" customHeight="1">
      <c r="A21" s="11" t="s">
        <v>192</v>
      </c>
      <c r="B21" s="11" t="s">
        <v>193</v>
      </c>
      <c r="C21" s="12" t="s">
        <v>194</v>
      </c>
      <c r="D21" s="12" t="s">
        <v>195</v>
      </c>
      <c r="E21" s="11" t="s">
        <v>196</v>
      </c>
      <c r="F21" s="11" t="s">
        <v>197</v>
      </c>
      <c r="G21" s="11" t="s">
        <v>32</v>
      </c>
      <c r="H21" s="11" t="s">
        <v>33</v>
      </c>
      <c r="I21" s="11" t="s">
        <v>34</v>
      </c>
      <c r="J21" s="11" t="s">
        <v>35</v>
      </c>
      <c r="K21" s="11" t="s">
        <v>108</v>
      </c>
      <c r="L21" s="11" t="s">
        <v>37</v>
      </c>
      <c r="M21" s="11" t="s">
        <v>38</v>
      </c>
      <c r="N21" s="11" t="s">
        <v>39</v>
      </c>
      <c r="O21" s="11" t="s">
        <v>195</v>
      </c>
      <c r="P21" s="11" t="s">
        <v>198</v>
      </c>
      <c r="Q21" s="13">
        <v>46307</v>
      </c>
      <c r="R21" s="11" t="s">
        <v>199</v>
      </c>
      <c r="S21" s="11" t="s">
        <v>194</v>
      </c>
      <c r="T21" s="14">
        <v>210921.46</v>
      </c>
      <c r="U21" s="15">
        <v>11.157795330000001</v>
      </c>
      <c r="V21" s="23">
        <v>46203.499199259262</v>
      </c>
      <c r="W21" s="12" t="s">
        <v>42</v>
      </c>
      <c r="X21" s="11" t="s">
        <v>43</v>
      </c>
      <c r="Y21" s="11" t="s">
        <v>44</v>
      </c>
    </row>
    <row r="22" spans="1:25" ht="22" customHeight="1">
      <c r="A22" s="11" t="s">
        <v>200</v>
      </c>
      <c r="B22" s="11" t="s">
        <v>201</v>
      </c>
      <c r="C22" s="12" t="s">
        <v>202</v>
      </c>
      <c r="D22" s="12" t="s">
        <v>203</v>
      </c>
      <c r="E22" s="11" t="s">
        <v>204</v>
      </c>
      <c r="F22" s="11" t="s">
        <v>205</v>
      </c>
      <c r="G22" s="11" t="s">
        <v>32</v>
      </c>
      <c r="H22" s="11" t="s">
        <v>33</v>
      </c>
      <c r="I22" s="11" t="s">
        <v>34</v>
      </c>
      <c r="J22" s="11" t="s">
        <v>35</v>
      </c>
      <c r="K22" s="11" t="s">
        <v>108</v>
      </c>
      <c r="L22" s="11" t="s">
        <v>37</v>
      </c>
      <c r="M22" s="11" t="s">
        <v>38</v>
      </c>
      <c r="N22" s="11" t="s">
        <v>39</v>
      </c>
      <c r="O22" s="11" t="s">
        <v>203</v>
      </c>
      <c r="P22" s="11" t="s">
        <v>206</v>
      </c>
      <c r="Q22" s="13">
        <v>46307</v>
      </c>
      <c r="R22" s="11" t="s">
        <v>207</v>
      </c>
      <c r="S22" s="11" t="s">
        <v>202</v>
      </c>
      <c r="T22" s="14">
        <v>460121.11900000001</v>
      </c>
      <c r="U22" s="15">
        <v>35.950545849999997</v>
      </c>
      <c r="V22" s="23">
        <v>46202.999199259262</v>
      </c>
      <c r="W22" s="12" t="s">
        <v>111</v>
      </c>
      <c r="X22" s="11" t="s">
        <v>112</v>
      </c>
      <c r="Y22" s="11" t="s">
        <v>44</v>
      </c>
    </row>
    <row r="23" spans="1:25" ht="22" customHeight="1">
      <c r="A23" s="11" t="s">
        <v>208</v>
      </c>
      <c r="B23" s="11" t="s">
        <v>209</v>
      </c>
      <c r="C23" s="12" t="s">
        <v>210</v>
      </c>
      <c r="D23" s="12" t="s">
        <v>211</v>
      </c>
      <c r="E23" s="11" t="s">
        <v>212</v>
      </c>
      <c r="F23" s="11" t="s">
        <v>213</v>
      </c>
      <c r="G23" s="11" t="s">
        <v>32</v>
      </c>
      <c r="H23" s="11" t="s">
        <v>33</v>
      </c>
      <c r="I23" s="11" t="s">
        <v>34</v>
      </c>
      <c r="J23" s="11" t="s">
        <v>35</v>
      </c>
      <c r="K23" s="11" t="s">
        <v>36</v>
      </c>
      <c r="L23" s="11" t="s">
        <v>37</v>
      </c>
      <c r="M23" s="11" t="s">
        <v>38</v>
      </c>
      <c r="N23" s="11" t="s">
        <v>39</v>
      </c>
      <c r="O23" s="11" t="s">
        <v>211</v>
      </c>
      <c r="P23" s="11" t="s">
        <v>214</v>
      </c>
      <c r="Q23" s="13">
        <v>46307</v>
      </c>
      <c r="R23" s="11" t="s">
        <v>215</v>
      </c>
      <c r="S23" s="11" t="s">
        <v>210</v>
      </c>
      <c r="T23" s="14">
        <v>253880.701</v>
      </c>
      <c r="U23" s="15">
        <v>14.734716069999999</v>
      </c>
      <c r="V23" s="23">
        <v>46202.999199259262</v>
      </c>
      <c r="W23" s="12" t="s">
        <v>111</v>
      </c>
      <c r="X23" s="11" t="s">
        <v>112</v>
      </c>
      <c r="Y23" s="11" t="s">
        <v>44</v>
      </c>
    </row>
    <row r="24" spans="1:25" ht="22" customHeight="1">
      <c r="A24" s="11" t="s">
        <v>216</v>
      </c>
      <c r="B24" s="11" t="s">
        <v>217</v>
      </c>
      <c r="C24" s="12" t="s">
        <v>218</v>
      </c>
      <c r="D24" s="12" t="s">
        <v>219</v>
      </c>
      <c r="E24" s="11" t="s">
        <v>220</v>
      </c>
      <c r="F24" s="11" t="s">
        <v>221</v>
      </c>
      <c r="G24" s="11" t="s">
        <v>32</v>
      </c>
      <c r="H24" s="11" t="s">
        <v>33</v>
      </c>
      <c r="I24" s="11" t="s">
        <v>34</v>
      </c>
      <c r="J24" s="11" t="s">
        <v>35</v>
      </c>
      <c r="K24" s="11" t="s">
        <v>108</v>
      </c>
      <c r="L24" s="11" t="s">
        <v>37</v>
      </c>
      <c r="M24" s="11" t="s">
        <v>38</v>
      </c>
      <c r="N24" s="11" t="s">
        <v>39</v>
      </c>
      <c r="O24" s="11" t="s">
        <v>219</v>
      </c>
      <c r="P24" s="11" t="s">
        <v>222</v>
      </c>
      <c r="Q24" s="13">
        <v>46307</v>
      </c>
      <c r="R24" s="11" t="s">
        <v>223</v>
      </c>
      <c r="S24" s="11" t="s">
        <v>218</v>
      </c>
      <c r="T24" s="14">
        <v>202401.913</v>
      </c>
      <c r="U24" s="15">
        <v>10.488639490000001</v>
      </c>
      <c r="V24" s="23">
        <v>45701.499199259262</v>
      </c>
      <c r="W24" s="12" t="s">
        <v>42</v>
      </c>
      <c r="X24" s="11" t="s">
        <v>43</v>
      </c>
      <c r="Y24" s="11" t="s">
        <v>44</v>
      </c>
    </row>
    <row r="25" spans="1:25" ht="22" customHeight="1">
      <c r="A25" s="11" t="s">
        <v>224</v>
      </c>
      <c r="B25" s="11" t="s">
        <v>130</v>
      </c>
      <c r="C25" s="12" t="s">
        <v>225</v>
      </c>
      <c r="D25" s="12" t="s">
        <v>226</v>
      </c>
      <c r="E25" s="11" t="s">
        <v>227</v>
      </c>
      <c r="F25" s="11" t="s">
        <v>228</v>
      </c>
      <c r="G25" s="11" t="s">
        <v>32</v>
      </c>
      <c r="H25" s="11" t="s">
        <v>33</v>
      </c>
      <c r="I25" s="11" t="s">
        <v>34</v>
      </c>
      <c r="J25" s="11" t="s">
        <v>35</v>
      </c>
      <c r="K25" s="11" t="s">
        <v>108</v>
      </c>
      <c r="L25" s="11" t="s">
        <v>37</v>
      </c>
      <c r="M25" s="11" t="s">
        <v>38</v>
      </c>
      <c r="N25" s="11" t="s">
        <v>39</v>
      </c>
      <c r="O25" s="11" t="s">
        <v>226</v>
      </c>
      <c r="P25" s="11" t="s">
        <v>229</v>
      </c>
      <c r="Q25" s="13">
        <v>46307</v>
      </c>
      <c r="R25" s="11" t="s">
        <v>230</v>
      </c>
      <c r="S25" s="11" t="s">
        <v>225</v>
      </c>
      <c r="T25" s="14">
        <v>332310.49900000001</v>
      </c>
      <c r="U25" s="15">
        <v>22.065477619999999</v>
      </c>
      <c r="V25" s="23">
        <v>45782.999199259262</v>
      </c>
      <c r="W25" s="12" t="s">
        <v>111</v>
      </c>
      <c r="X25" s="11" t="s">
        <v>112</v>
      </c>
      <c r="Y25" s="11" t="s">
        <v>44</v>
      </c>
    </row>
    <row r="26" spans="1:25" ht="22" customHeight="1">
      <c r="A26" s="11" t="s">
        <v>231</v>
      </c>
      <c r="B26" s="11" t="s">
        <v>232</v>
      </c>
      <c r="C26" s="12" t="s">
        <v>233</v>
      </c>
      <c r="D26" s="12" t="s">
        <v>234</v>
      </c>
      <c r="E26" s="11" t="s">
        <v>235</v>
      </c>
      <c r="F26" s="11" t="s">
        <v>236</v>
      </c>
      <c r="G26" s="11" t="s">
        <v>32</v>
      </c>
      <c r="H26" s="11" t="s">
        <v>33</v>
      </c>
      <c r="I26" s="11" t="s">
        <v>34</v>
      </c>
      <c r="J26" s="11" t="s">
        <v>35</v>
      </c>
      <c r="K26" s="11" t="s">
        <v>36</v>
      </c>
      <c r="L26" s="11" t="s">
        <v>37</v>
      </c>
      <c r="M26" s="11" t="s">
        <v>38</v>
      </c>
      <c r="N26" s="11" t="s">
        <v>39</v>
      </c>
      <c r="O26" s="11" t="s">
        <v>234</v>
      </c>
      <c r="P26" s="11" t="s">
        <v>237</v>
      </c>
      <c r="Q26" s="13">
        <v>46307</v>
      </c>
      <c r="R26" s="11" t="s">
        <v>238</v>
      </c>
      <c r="S26" s="11" t="s">
        <v>233</v>
      </c>
      <c r="T26" s="14">
        <v>69375.937999999995</v>
      </c>
      <c r="U26" s="15">
        <v>2.1047985499999999</v>
      </c>
      <c r="V26" s="23">
        <v>46279.499199259262</v>
      </c>
      <c r="W26" s="12" t="s">
        <v>42</v>
      </c>
      <c r="X26" s="11" t="s">
        <v>43</v>
      </c>
      <c r="Y26" s="11" t="s">
        <v>44</v>
      </c>
    </row>
    <row r="27" spans="1:25" ht="22" customHeight="1">
      <c r="A27" s="11" t="s">
        <v>239</v>
      </c>
      <c r="B27" s="11" t="s">
        <v>240</v>
      </c>
      <c r="C27" s="12" t="s">
        <v>241</v>
      </c>
      <c r="D27" s="12" t="s">
        <v>242</v>
      </c>
      <c r="E27" s="11" t="s">
        <v>243</v>
      </c>
      <c r="F27" s="11" t="s">
        <v>244</v>
      </c>
      <c r="G27" s="11" t="s">
        <v>32</v>
      </c>
      <c r="H27" s="11" t="s">
        <v>33</v>
      </c>
      <c r="I27" s="11" t="s">
        <v>34</v>
      </c>
      <c r="J27" s="11" t="s">
        <v>35</v>
      </c>
      <c r="K27" s="11" t="s">
        <v>108</v>
      </c>
      <c r="L27" s="11" t="s">
        <v>37</v>
      </c>
      <c r="M27" s="11" t="s">
        <v>38</v>
      </c>
      <c r="N27" s="11" t="s">
        <v>39</v>
      </c>
      <c r="O27" s="11" t="s">
        <v>245</v>
      </c>
      <c r="P27" s="11" t="s">
        <v>246</v>
      </c>
      <c r="Q27" s="13">
        <v>46307</v>
      </c>
      <c r="R27" s="11" t="s">
        <v>247</v>
      </c>
      <c r="S27" s="11" t="s">
        <v>241</v>
      </c>
      <c r="T27" s="14">
        <v>270670.27100000001</v>
      </c>
      <c r="U27" s="15">
        <v>16.22026979</v>
      </c>
      <c r="V27" s="23">
        <v>45288.999199259262</v>
      </c>
      <c r="W27" s="12" t="s">
        <v>111</v>
      </c>
      <c r="X27" s="11" t="s">
        <v>112</v>
      </c>
      <c r="Y27" s="11" t="s">
        <v>44</v>
      </c>
    </row>
    <row r="28" spans="1:25" ht="22" customHeight="1">
      <c r="A28" s="11" t="s">
        <v>248</v>
      </c>
      <c r="B28" s="11" t="s">
        <v>249</v>
      </c>
      <c r="C28" s="12"/>
      <c r="D28" s="12" t="s">
        <v>250</v>
      </c>
      <c r="E28" s="11" t="s">
        <v>249</v>
      </c>
      <c r="F28" s="11" t="s">
        <v>251</v>
      </c>
      <c r="G28" s="11" t="s">
        <v>32</v>
      </c>
      <c r="H28" s="11" t="s">
        <v>33</v>
      </c>
      <c r="I28" s="11" t="s">
        <v>34</v>
      </c>
      <c r="J28" s="11" t="s">
        <v>35</v>
      </c>
      <c r="K28" s="11" t="s">
        <v>36</v>
      </c>
      <c r="L28" s="11" t="s">
        <v>37</v>
      </c>
      <c r="M28" s="11" t="s">
        <v>38</v>
      </c>
      <c r="N28" s="11" t="s">
        <v>39</v>
      </c>
      <c r="O28" s="11"/>
      <c r="P28" s="11" t="s">
        <v>252</v>
      </c>
      <c r="Q28" s="13">
        <v>46307</v>
      </c>
      <c r="R28" s="11" t="s">
        <v>253</v>
      </c>
      <c r="S28" s="11" t="s">
        <v>254</v>
      </c>
      <c r="T28" s="14">
        <v>209556.37100000001</v>
      </c>
      <c r="U28" s="15">
        <v>11.0496505</v>
      </c>
      <c r="V28" s="23">
        <v>43694.124199259262</v>
      </c>
      <c r="W28" s="12" t="s">
        <v>255</v>
      </c>
      <c r="X28" s="11" t="s">
        <v>43</v>
      </c>
      <c r="Y28" s="11" t="s">
        <v>44</v>
      </c>
    </row>
    <row r="29" spans="1:25" ht="22" customHeight="1">
      <c r="A29" s="11" t="s">
        <v>256</v>
      </c>
      <c r="B29" s="11" t="s">
        <v>257</v>
      </c>
      <c r="C29" s="12"/>
      <c r="D29" s="12" t="s">
        <v>258</v>
      </c>
      <c r="E29" s="11" t="s">
        <v>257</v>
      </c>
      <c r="F29" s="11" t="s">
        <v>259</v>
      </c>
      <c r="G29" s="11" t="s">
        <v>32</v>
      </c>
      <c r="H29" s="11" t="s">
        <v>33</v>
      </c>
      <c r="I29" s="11" t="s">
        <v>34</v>
      </c>
      <c r="J29" s="11" t="s">
        <v>35</v>
      </c>
      <c r="K29" s="11" t="s">
        <v>108</v>
      </c>
      <c r="L29" s="11" t="s">
        <v>37</v>
      </c>
      <c r="M29" s="11" t="s">
        <v>38</v>
      </c>
      <c r="N29" s="11" t="s">
        <v>39</v>
      </c>
      <c r="O29" s="11"/>
      <c r="P29" s="11" t="s">
        <v>260</v>
      </c>
      <c r="Q29" s="13">
        <v>46307</v>
      </c>
      <c r="R29" s="11" t="s">
        <v>261</v>
      </c>
      <c r="S29" s="11" t="s">
        <v>262</v>
      </c>
      <c r="T29" s="14">
        <v>359247.60399999999</v>
      </c>
      <c r="U29" s="15">
        <v>24.80207742</v>
      </c>
      <c r="V29" s="23">
        <v>45005.499199259262</v>
      </c>
      <c r="W29" s="12" t="s">
        <v>111</v>
      </c>
      <c r="X29" s="11" t="s">
        <v>112</v>
      </c>
      <c r="Y29" s="11" t="s">
        <v>44</v>
      </c>
    </row>
    <row r="30" spans="1:25" ht="22" customHeight="1">
      <c r="A30" s="11" t="s">
        <v>263</v>
      </c>
      <c r="B30" s="11" t="s">
        <v>264</v>
      </c>
      <c r="C30" s="12"/>
      <c r="D30" s="12" t="s">
        <v>265</v>
      </c>
      <c r="E30" s="11" t="s">
        <v>264</v>
      </c>
      <c r="F30" s="11" t="s">
        <v>266</v>
      </c>
      <c r="G30" s="11" t="s">
        <v>32</v>
      </c>
      <c r="H30" s="11" t="s">
        <v>33</v>
      </c>
      <c r="I30" s="11" t="s">
        <v>34</v>
      </c>
      <c r="J30" s="11" t="s">
        <v>35</v>
      </c>
      <c r="K30" s="11" t="s">
        <v>108</v>
      </c>
      <c r="L30" s="11" t="s">
        <v>37</v>
      </c>
      <c r="M30" s="11" t="s">
        <v>38</v>
      </c>
      <c r="N30" s="11" t="s">
        <v>39</v>
      </c>
      <c r="O30" s="11"/>
      <c r="P30" s="11" t="s">
        <v>267</v>
      </c>
      <c r="Q30" s="13">
        <v>46307</v>
      </c>
      <c r="R30" s="11" t="s">
        <v>268</v>
      </c>
      <c r="S30" s="11" t="s">
        <v>269</v>
      </c>
      <c r="T30" s="14">
        <v>227204.59</v>
      </c>
      <c r="U30" s="15">
        <v>12.474492619999999</v>
      </c>
      <c r="V30" s="23">
        <v>46122.799199259258</v>
      </c>
      <c r="W30" s="12" t="s">
        <v>111</v>
      </c>
      <c r="X30" s="11" t="s">
        <v>112</v>
      </c>
      <c r="Y30" s="11" t="s">
        <v>44</v>
      </c>
    </row>
  </sheetData>
  <phoneticPr fontId="9" type="noConversion"/>
  <conditionalFormatting sqref="K2:K30">
    <cfRule type="containsText" dxfId="6" priority="1" operator="containsText" text="conflicted"/>
    <cfRule type="containsText" dxfId="5" priority="2" operator="containsText" text="probable"/>
    <cfRule type="containsText" dxfId="4" priority="3" operator="containsText" text="conflicted"/>
    <cfRule type="containsText" dxfId="3" priority="4" operator="containsText" text="probable"/>
  </conditionalFormatting>
  <dataValidations count="10">
    <dataValidation type="list" sqref="G2:G30" xr:uid="{00000000-0002-0000-0000-000000000000}">
      <formula1>"spacecraft,rocket_body,debris,unknown"</formula1>
    </dataValidation>
    <dataValidation type="list" sqref="H2:H30" xr:uid="{00000000-0002-0000-0000-000001000000}">
      <formula1>"GEO,GTO,HEO,XGEO,translunar,lunar_orbit,NRHO,DRO,EML1,EML2,heliocentric,escape,unknown"</formula1>
    </dataValidation>
    <dataValidation type="list" sqref="I2:I30" xr:uid="{00000000-0002-0000-0000-000002000000}">
      <formula1>"Earth,Moon,Sun,Earth-Moon,unknown"</formula1>
    </dataValidation>
    <dataValidation type="list" sqref="J2:J30" xr:uid="{00000000-0002-0000-0000-000003000000}">
      <formula1>"TRUE,FALSE"</formula1>
    </dataValidation>
    <dataValidation type="list" sqref="K2:K30" xr:uid="{00000000-0002-0000-0000-000004000000}">
      <formula1>"confirmed,probable,unmatched,conflicted"</formula1>
    </dataValidation>
    <dataValidation type="list" sqref="L2:L30" xr:uid="{00000000-0002-0000-0000-000005000000}">
      <formula1>"spacetrack,bill_gray,both,manual"</formula1>
    </dataValidation>
    <dataValidation type="list" sqref="M2:M30" xr:uid="{00000000-0002-0000-0000-000006000000}">
      <formula1>"high,medium,low"</formula1>
    </dataValidation>
    <dataValidation type="list" sqref="N2:N30" xr:uid="{00000000-0002-0000-0000-000007000000}">
      <formula1>"active,inactive,decayed,impacted,escaped,unknown"</formula1>
    </dataValidation>
    <dataValidation type="list" sqref="W2:W30" xr:uid="{00000000-0002-0000-0000-000018000000}">
      <formula1>"0,2,H"</formula1>
    </dataValidation>
    <dataValidation type="list" sqref="X2:X30" xr:uid="{00000000-0002-0000-0000-000019000000}">
      <formula1>"tle_mean_motion,state_vector_energy"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8" customWidth="1"/>
    <col min="2" max="2" width="118" customWidth="1"/>
    <col min="3" max="3" width="20" customWidth="1"/>
    <col min="4" max="4" width="56" customWidth="1"/>
    <col min="5" max="5" width="52" customWidth="1"/>
    <col min="6" max="6" width="42" customWidth="1"/>
  </cols>
  <sheetData>
    <row r="1" spans="1:6" ht="30" customHeight="1">
      <c r="A1" s="21" t="s">
        <v>270</v>
      </c>
      <c r="B1" s="21"/>
      <c r="C1" s="21"/>
      <c r="D1" s="21"/>
      <c r="E1" s="21"/>
      <c r="F1" s="21"/>
    </row>
    <row r="2" spans="1:6">
      <c r="A2" s="22" t="s">
        <v>271</v>
      </c>
      <c r="B2" s="22"/>
      <c r="C2" s="22"/>
      <c r="D2" s="22"/>
      <c r="E2" s="22"/>
      <c r="F2" s="22"/>
    </row>
    <row r="4" spans="1:6" ht="15" customHeight="1">
      <c r="A4" s="7" t="s">
        <v>272</v>
      </c>
      <c r="B4" s="7" t="s">
        <v>273</v>
      </c>
      <c r="C4" s="7" t="s">
        <v>274</v>
      </c>
      <c r="D4" s="7" t="s">
        <v>275</v>
      </c>
      <c r="E4" s="7" t="s">
        <v>276</v>
      </c>
      <c r="F4" s="7" t="s">
        <v>277</v>
      </c>
    </row>
    <row r="5" spans="1:6" ht="15" customHeight="1">
      <c r="A5" s="4" t="s">
        <v>0</v>
      </c>
      <c r="B5" s="4" t="s">
        <v>278</v>
      </c>
      <c r="C5" s="5" t="s">
        <v>279</v>
      </c>
      <c r="D5" s="5" t="s">
        <v>280</v>
      </c>
      <c r="E5" s="5" t="s">
        <v>281</v>
      </c>
      <c r="F5" s="5" t="s">
        <v>282</v>
      </c>
    </row>
    <row r="6" spans="1:6" ht="15" customHeight="1">
      <c r="A6" s="4" t="s">
        <v>1</v>
      </c>
      <c r="B6" s="4" t="s">
        <v>278</v>
      </c>
      <c r="C6" s="5" t="s">
        <v>279</v>
      </c>
      <c r="D6" s="5"/>
      <c r="E6" s="5" t="s">
        <v>283</v>
      </c>
      <c r="F6" s="5" t="s">
        <v>284</v>
      </c>
    </row>
    <row r="7" spans="1:6" ht="15" customHeight="1">
      <c r="A7" s="4" t="s">
        <v>2</v>
      </c>
      <c r="B7" s="4" t="s">
        <v>285</v>
      </c>
      <c r="C7" s="5" t="s">
        <v>279</v>
      </c>
      <c r="D7" s="5"/>
      <c r="E7" s="5" t="s">
        <v>286</v>
      </c>
      <c r="F7" s="5"/>
    </row>
    <row r="8" spans="1:6" ht="24" customHeight="1">
      <c r="A8" s="4" t="s">
        <v>3</v>
      </c>
      <c r="B8" s="4" t="s">
        <v>285</v>
      </c>
      <c r="C8" s="5" t="s">
        <v>279</v>
      </c>
      <c r="D8" s="5"/>
      <c r="E8" s="5" t="s">
        <v>287</v>
      </c>
      <c r="F8" s="5" t="s">
        <v>288</v>
      </c>
    </row>
    <row r="9" spans="1:6" ht="15" customHeight="1">
      <c r="A9" s="4" t="s">
        <v>4</v>
      </c>
      <c r="B9" s="4" t="s">
        <v>285</v>
      </c>
      <c r="C9" s="5" t="s">
        <v>279</v>
      </c>
      <c r="D9" s="5"/>
      <c r="E9" s="5" t="s">
        <v>289</v>
      </c>
      <c r="F9" s="5" t="s">
        <v>290</v>
      </c>
    </row>
    <row r="10" spans="1:6" ht="15" customHeight="1">
      <c r="A10" s="4" t="s">
        <v>5</v>
      </c>
      <c r="B10" s="4" t="s">
        <v>285</v>
      </c>
      <c r="C10" s="5" t="s">
        <v>279</v>
      </c>
      <c r="D10" s="5"/>
      <c r="E10" s="5" t="s">
        <v>291</v>
      </c>
      <c r="F10" s="5" t="s">
        <v>292</v>
      </c>
    </row>
    <row r="11" spans="1:6" ht="15" customHeight="1">
      <c r="A11" s="4" t="s">
        <v>6</v>
      </c>
      <c r="B11" s="4" t="s">
        <v>285</v>
      </c>
      <c r="C11" s="5" t="s">
        <v>293</v>
      </c>
      <c r="D11" s="5"/>
      <c r="E11" s="5" t="s">
        <v>294</v>
      </c>
      <c r="F11" s="5" t="s">
        <v>295</v>
      </c>
    </row>
    <row r="12" spans="1:6" ht="15" customHeight="1">
      <c r="A12" s="4" t="s">
        <v>7</v>
      </c>
      <c r="B12" s="4" t="s">
        <v>285</v>
      </c>
      <c r="C12" s="5" t="s">
        <v>296</v>
      </c>
      <c r="D12" s="5" t="s">
        <v>297</v>
      </c>
      <c r="E12" s="5" t="s">
        <v>298</v>
      </c>
      <c r="F12" s="5" t="s">
        <v>39</v>
      </c>
    </row>
    <row r="13" spans="1:6" ht="24" customHeight="1">
      <c r="A13" s="4" t="s">
        <v>8</v>
      </c>
      <c r="B13" s="4" t="s">
        <v>285</v>
      </c>
      <c r="C13" s="5" t="s">
        <v>296</v>
      </c>
      <c r="D13" s="5" t="s">
        <v>299</v>
      </c>
      <c r="E13" s="5" t="s">
        <v>300</v>
      </c>
      <c r="F13" s="5" t="s">
        <v>33</v>
      </c>
    </row>
    <row r="14" spans="1:6" ht="15" customHeight="1">
      <c r="A14" s="4" t="s">
        <v>9</v>
      </c>
      <c r="B14" s="4" t="s">
        <v>285</v>
      </c>
      <c r="C14" s="5" t="s">
        <v>296</v>
      </c>
      <c r="D14" s="5" t="s">
        <v>301</v>
      </c>
      <c r="E14" s="5" t="s">
        <v>302</v>
      </c>
      <c r="F14" s="5" t="s">
        <v>34</v>
      </c>
    </row>
    <row r="15" spans="1:6" ht="15" customHeight="1">
      <c r="A15" s="4" t="s">
        <v>10</v>
      </c>
      <c r="B15" s="4" t="s">
        <v>278</v>
      </c>
      <c r="C15" s="5" t="s">
        <v>296</v>
      </c>
      <c r="D15" s="5" t="s">
        <v>303</v>
      </c>
      <c r="E15" s="5" t="s">
        <v>304</v>
      </c>
      <c r="F15" s="5" t="s">
        <v>35</v>
      </c>
    </row>
    <row r="16" spans="1:6" ht="15" customHeight="1">
      <c r="A16" s="4" t="s">
        <v>11</v>
      </c>
      <c r="B16" s="4" t="s">
        <v>278</v>
      </c>
      <c r="C16" s="5" t="s">
        <v>296</v>
      </c>
      <c r="D16" s="5" t="s">
        <v>305</v>
      </c>
      <c r="E16" s="5" t="s">
        <v>306</v>
      </c>
      <c r="F16" s="5" t="s">
        <v>108</v>
      </c>
    </row>
    <row r="17" spans="1:6" ht="15" customHeight="1">
      <c r="A17" s="4" t="s">
        <v>12</v>
      </c>
      <c r="B17" s="4" t="s">
        <v>278</v>
      </c>
      <c r="C17" s="5" t="s">
        <v>296</v>
      </c>
      <c r="D17" s="5" t="s">
        <v>307</v>
      </c>
      <c r="E17" s="5" t="s">
        <v>308</v>
      </c>
      <c r="F17" s="5" t="s">
        <v>37</v>
      </c>
    </row>
    <row r="18" spans="1:6" ht="15" customHeight="1">
      <c r="A18" s="4" t="s">
        <v>13</v>
      </c>
      <c r="B18" s="4" t="s">
        <v>285</v>
      </c>
      <c r="C18" s="5" t="s">
        <v>296</v>
      </c>
      <c r="D18" s="5" t="s">
        <v>309</v>
      </c>
      <c r="E18" s="5" t="s">
        <v>310</v>
      </c>
      <c r="F18" s="5" t="s">
        <v>38</v>
      </c>
    </row>
    <row r="19" spans="1:6" ht="15" customHeight="1">
      <c r="A19" s="4" t="s">
        <v>14</v>
      </c>
      <c r="B19" s="4" t="s">
        <v>285</v>
      </c>
      <c r="C19" s="5" t="s">
        <v>296</v>
      </c>
      <c r="D19" s="5" t="s">
        <v>311</v>
      </c>
      <c r="E19" s="5" t="s">
        <v>312</v>
      </c>
      <c r="F19" s="5" t="s">
        <v>39</v>
      </c>
    </row>
    <row r="20" spans="1:6" ht="15" customHeight="1">
      <c r="A20" s="4" t="s">
        <v>15</v>
      </c>
      <c r="B20" s="4" t="s">
        <v>285</v>
      </c>
      <c r="C20" s="5" t="s">
        <v>279</v>
      </c>
      <c r="D20" s="5" t="s">
        <v>313</v>
      </c>
      <c r="E20" s="5" t="s">
        <v>314</v>
      </c>
      <c r="F20" s="5" t="s">
        <v>315</v>
      </c>
    </row>
    <row r="21" spans="1:6" ht="15" customHeight="1">
      <c r="A21" s="4" t="s">
        <v>16</v>
      </c>
      <c r="B21" s="4" t="s">
        <v>285</v>
      </c>
      <c r="C21" s="5" t="s">
        <v>279</v>
      </c>
      <c r="D21" s="5"/>
      <c r="E21" s="5" t="s">
        <v>316</v>
      </c>
      <c r="F21" s="5" t="s">
        <v>317</v>
      </c>
    </row>
    <row r="22" spans="1:6" ht="15" customHeight="1">
      <c r="A22" s="4" t="s">
        <v>17</v>
      </c>
      <c r="B22" s="4" t="s">
        <v>285</v>
      </c>
      <c r="C22" s="5" t="s">
        <v>318</v>
      </c>
      <c r="D22" s="5" t="s">
        <v>319</v>
      </c>
      <c r="E22" s="5" t="s">
        <v>320</v>
      </c>
      <c r="F22" s="5" t="s">
        <v>321</v>
      </c>
    </row>
    <row r="23" spans="1:6" ht="15" customHeight="1">
      <c r="A23" s="4" t="s">
        <v>18</v>
      </c>
      <c r="B23" s="4" t="s">
        <v>285</v>
      </c>
      <c r="C23" s="5" t="s">
        <v>322</v>
      </c>
      <c r="D23" s="5"/>
      <c r="E23" s="5" t="s">
        <v>323</v>
      </c>
      <c r="F23" s="5" t="s">
        <v>324</v>
      </c>
    </row>
    <row r="24" spans="1:6" ht="15" customHeight="1">
      <c r="A24" s="4" t="s">
        <v>19</v>
      </c>
      <c r="B24" s="4" t="s">
        <v>285</v>
      </c>
      <c r="C24" s="5" t="s">
        <v>279</v>
      </c>
      <c r="D24" s="5" t="s">
        <v>313</v>
      </c>
      <c r="E24" s="5" t="s">
        <v>325</v>
      </c>
      <c r="F24" s="5" t="s">
        <v>326</v>
      </c>
    </row>
    <row r="25" spans="1:6" ht="15" customHeight="1">
      <c r="A25" s="4" t="s">
        <v>20</v>
      </c>
      <c r="B25" s="4" t="s">
        <v>278</v>
      </c>
      <c r="C25" s="5" t="s">
        <v>327</v>
      </c>
      <c r="D25" s="5" t="s">
        <v>328</v>
      </c>
      <c r="E25" s="5" t="s">
        <v>329</v>
      </c>
      <c r="F25" s="5">
        <v>74238.505999999994</v>
      </c>
    </row>
    <row r="26" spans="1:6" ht="15" customHeight="1">
      <c r="A26" s="4" t="s">
        <v>21</v>
      </c>
      <c r="B26" s="4" t="s">
        <v>285</v>
      </c>
      <c r="C26" s="5" t="s">
        <v>330</v>
      </c>
      <c r="D26" s="5"/>
      <c r="E26" s="5" t="s">
        <v>331</v>
      </c>
      <c r="F26" s="5">
        <v>2.33</v>
      </c>
    </row>
    <row r="27" spans="1:6" ht="15" customHeight="1">
      <c r="A27" s="4" t="s">
        <v>22</v>
      </c>
      <c r="B27" s="4" t="s">
        <v>278</v>
      </c>
      <c r="C27" s="5" t="s">
        <v>318</v>
      </c>
      <c r="D27" s="5"/>
      <c r="E27" s="5" t="s">
        <v>332</v>
      </c>
      <c r="F27" s="5" t="s">
        <v>333</v>
      </c>
    </row>
    <row r="28" spans="1:6" ht="15" customHeight="1">
      <c r="A28" s="4" t="s">
        <v>23</v>
      </c>
      <c r="B28" s="4" t="s">
        <v>278</v>
      </c>
      <c r="C28" s="5" t="s">
        <v>279</v>
      </c>
      <c r="D28" s="5" t="s">
        <v>334</v>
      </c>
      <c r="E28" s="5" t="s">
        <v>335</v>
      </c>
      <c r="F28" s="5" t="s">
        <v>111</v>
      </c>
    </row>
    <row r="29" spans="1:6" ht="15" customHeight="1">
      <c r="A29" s="4" t="s">
        <v>24</v>
      </c>
      <c r="B29" s="4" t="s">
        <v>278</v>
      </c>
      <c r="C29" s="5" t="s">
        <v>279</v>
      </c>
      <c r="D29" s="5" t="s">
        <v>336</v>
      </c>
      <c r="E29" s="5" t="s">
        <v>337</v>
      </c>
      <c r="F29" s="5" t="s">
        <v>43</v>
      </c>
    </row>
    <row r="30" spans="1:6" ht="15" customHeight="1">
      <c r="A30" s="4" t="s">
        <v>25</v>
      </c>
      <c r="B30" s="4" t="s">
        <v>278</v>
      </c>
      <c r="C30" s="5" t="s">
        <v>338</v>
      </c>
      <c r="D30" s="5"/>
      <c r="E30" s="5" t="s">
        <v>339</v>
      </c>
      <c r="F30" s="5" t="s">
        <v>44</v>
      </c>
    </row>
    <row r="32" spans="1:6">
      <c r="A32" s="18" t="s">
        <v>340</v>
      </c>
      <c r="B32" s="19"/>
      <c r="C32" s="19"/>
      <c r="D32" s="19"/>
      <c r="E32" s="19"/>
      <c r="F32" s="20"/>
    </row>
    <row r="33" spans="1:6" ht="32" customHeight="1">
      <c r="A33" s="6" t="s">
        <v>341</v>
      </c>
      <c r="B33" s="16" t="s">
        <v>342</v>
      </c>
      <c r="C33" s="17"/>
      <c r="D33" s="17"/>
      <c r="E33" s="17"/>
      <c r="F33" s="17"/>
    </row>
    <row r="34" spans="1:6" ht="32" customHeight="1">
      <c r="A34" s="6" t="s">
        <v>255</v>
      </c>
      <c r="B34" s="16" t="s">
        <v>343</v>
      </c>
      <c r="C34" s="17"/>
      <c r="D34" s="17"/>
      <c r="E34" s="17"/>
      <c r="F34" s="17"/>
    </row>
    <row r="35" spans="1:6" ht="32" customHeight="1">
      <c r="A35" s="6" t="s">
        <v>344</v>
      </c>
      <c r="B35" s="16" t="s">
        <v>345</v>
      </c>
      <c r="C35" s="17"/>
      <c r="D35" s="17"/>
      <c r="E35" s="17"/>
      <c r="F35" s="17"/>
    </row>
    <row r="36" spans="1:6" ht="32" customHeight="1">
      <c r="A36" s="6" t="s">
        <v>346</v>
      </c>
      <c r="B36" s="16" t="s">
        <v>347</v>
      </c>
      <c r="C36" s="17"/>
      <c r="D36" s="17"/>
      <c r="E36" s="17"/>
      <c r="F36" s="17"/>
    </row>
    <row r="37" spans="1:6" ht="32" customHeight="1">
      <c r="A37" s="6" t="s">
        <v>348</v>
      </c>
      <c r="B37" s="16" t="s">
        <v>349</v>
      </c>
      <c r="C37" s="17"/>
      <c r="D37" s="17"/>
      <c r="E37" s="17"/>
      <c r="F37" s="17"/>
    </row>
    <row r="39" spans="1:6">
      <c r="A39" s="18" t="s">
        <v>350</v>
      </c>
      <c r="B39" s="19"/>
      <c r="C39" s="19"/>
      <c r="D39" s="19"/>
      <c r="E39" s="19"/>
      <c r="F39" s="20"/>
    </row>
    <row r="40" spans="1:6" ht="15" customHeight="1">
      <c r="A40" s="8" t="s">
        <v>351</v>
      </c>
      <c r="B40" s="5" t="s">
        <v>352</v>
      </c>
    </row>
    <row r="41" spans="1:6" ht="15" customHeight="1">
      <c r="A41" s="8" t="s">
        <v>353</v>
      </c>
      <c r="B41" s="5" t="s">
        <v>44</v>
      </c>
    </row>
    <row r="42" spans="1:6" ht="15" customHeight="1">
      <c r="A42" s="8" t="s">
        <v>354</v>
      </c>
      <c r="B42" s="5" t="s">
        <v>355</v>
      </c>
    </row>
    <row r="43" spans="1:6" ht="15" customHeight="1">
      <c r="A43" s="8" t="s">
        <v>356</v>
      </c>
      <c r="B43" s="5" t="s">
        <v>357</v>
      </c>
    </row>
    <row r="44" spans="1:6" ht="15" customHeight="1">
      <c r="A44" s="8" t="s">
        <v>358</v>
      </c>
      <c r="B44" s="5" t="s">
        <v>359</v>
      </c>
    </row>
    <row r="45" spans="1:6" ht="15" customHeight="1">
      <c r="A45" s="8" t="s">
        <v>360</v>
      </c>
      <c r="B45" s="5" t="s">
        <v>361</v>
      </c>
    </row>
    <row r="46" spans="1:6" ht="15" customHeight="1">
      <c r="A46" s="8" t="s">
        <v>362</v>
      </c>
      <c r="B46" s="5" t="s">
        <v>363</v>
      </c>
    </row>
    <row r="47" spans="1:6" ht="15" customHeight="1">
      <c r="A47" s="8" t="s">
        <v>364</v>
      </c>
      <c r="B47" s="5" t="s">
        <v>365</v>
      </c>
    </row>
    <row r="48" spans="1:6" ht="15" customHeight="1">
      <c r="A48" s="8" t="s">
        <v>366</v>
      </c>
      <c r="B48" s="5" t="s">
        <v>367</v>
      </c>
    </row>
    <row r="49" spans="1:6">
      <c r="A49" s="17" t="s">
        <v>368</v>
      </c>
      <c r="B49" s="17"/>
      <c r="C49" s="17"/>
      <c r="D49" s="17"/>
      <c r="E49" s="17"/>
      <c r="F49" s="17"/>
    </row>
    <row r="50" spans="1:6">
      <c r="A50" t="s">
        <v>369</v>
      </c>
      <c r="B50" s="9">
        <v>79</v>
      </c>
    </row>
    <row r="51" spans="1:6">
      <c r="A51" t="s">
        <v>370</v>
      </c>
      <c r="B51" s="9">
        <v>29</v>
      </c>
    </row>
    <row r="52" spans="1:6">
      <c r="A52" t="s">
        <v>371</v>
      </c>
      <c r="B52" s="9">
        <v>14</v>
      </c>
    </row>
    <row r="53" spans="1:6">
      <c r="A53" t="s">
        <v>372</v>
      </c>
      <c r="B53" s="9">
        <v>15</v>
      </c>
    </row>
    <row r="54" spans="1:6">
      <c r="A54" t="s">
        <v>373</v>
      </c>
      <c r="B54" s="9">
        <v>50</v>
      </c>
    </row>
    <row r="55" spans="1:6">
      <c r="A55" t="s">
        <v>374</v>
      </c>
      <c r="B55" s="10" t="s">
        <v>375</v>
      </c>
      <c r="C55" s="10"/>
      <c r="D55" s="10"/>
      <c r="E55" s="10"/>
      <c r="F55" s="10"/>
    </row>
    <row r="56" spans="1:6">
      <c r="A56" t="s">
        <v>376</v>
      </c>
      <c r="B56" s="10" t="s">
        <v>377</v>
      </c>
      <c r="C56" s="10"/>
      <c r="D56" s="10"/>
      <c r="E56" s="10"/>
      <c r="F56" s="10"/>
    </row>
    <row r="57" spans="1:6">
      <c r="A57" t="s">
        <v>378</v>
      </c>
      <c r="B57" s="10" t="s">
        <v>44</v>
      </c>
      <c r="C57" s="10"/>
      <c r="D57" s="10"/>
      <c r="E57" s="10"/>
      <c r="F57" s="10"/>
    </row>
    <row r="58" spans="1:6">
      <c r="A58" t="s">
        <v>379</v>
      </c>
      <c r="B58" s="10" t="s">
        <v>380</v>
      </c>
      <c r="C58" s="10"/>
      <c r="D58" s="10"/>
      <c r="E58" s="10"/>
      <c r="F58" s="10"/>
    </row>
  </sheetData>
  <mergeCells count="10">
    <mergeCell ref="A1:F1"/>
    <mergeCell ref="A2:F2"/>
    <mergeCell ref="A32:F32"/>
    <mergeCell ref="B33:F33"/>
    <mergeCell ref="B34:F34"/>
    <mergeCell ref="B35:F35"/>
    <mergeCell ref="B36:F36"/>
    <mergeCell ref="B37:F37"/>
    <mergeCell ref="A39:F39"/>
    <mergeCell ref="A49:F49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目标登记表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言骏 俞</cp:lastModifiedBy>
  <dcterms:modified xsi:type="dcterms:W3CDTF">2026-10-13T06:26:47Z</dcterms:modified>
</cp:coreProperties>
</file>